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84c4bdaec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ef3d9ee5f0e43a8"/>
    <x:sheet xmlns:r="http://schemas.openxmlformats.org/officeDocument/2006/relationships" name="Serie_2020_2025" sheetId="2" r:id="R1f3de52d883e4b58"/>
    <x:sheet xmlns:r="http://schemas.openxmlformats.org/officeDocument/2006/relationships" name="Categorias_2020_2025" sheetId="3" r:id="R1578a30efd944789"/>
    <x:sheet xmlns:r="http://schemas.openxmlformats.org/officeDocument/2006/relationships" name="Escenarios_2025_2030" sheetId="4" r:id="R2af9108d6c0343ac"/>
    <x:sheet xmlns:r="http://schemas.openxmlformats.org/officeDocument/2006/relationships" name="Resumen_2030" sheetId="5" r:id="R279c1569ccb04e90"/>
    <x:sheet xmlns:r="http://schemas.openxmlformats.org/officeDocument/2006/relationships" name="Sensibilidad" sheetId="6" r:id="Rb3026c0805384af2"/>
    <x:sheet xmlns:r="http://schemas.openxmlformats.org/officeDocument/2006/relationships" name="Coeficientes" sheetId="7" r:id="Rbba87b573e9b444a"/>
    <x:sheet xmlns:r="http://schemas.openxmlformats.org/officeDocument/2006/relationships" name="Evidencia_2026" sheetId="8" r:id="R51e38566cffb4095"/>
    <x:sheet xmlns:r="http://schemas.openxmlformats.org/officeDocument/2006/relationships" name="Calibracion_2025" sheetId="9" r:id="Rb79a27b75dab4134"/>
    <x:sheet xmlns:r="http://schemas.openxmlformats.org/officeDocument/2006/relationships" name="Metodologia" sheetId="10" r:id="Rd07b49603b2a4b64"/>
    <x:sheet xmlns:r="http://schemas.openxmlformats.org/officeDocument/2006/relationships" name="Diccionario_Datos" sheetId="11" r:id="Re5d3a05b7ad3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i/>
      <x:sz val="11"/>
      <x:color rgb="FF333333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242424"/>
      </x:patternFill>
    </x:fill>
    <x:fill>
      <x:patternFill patternType="solid">
        <x:fgColor rgb="FFF7F7F7"/>
      </x:patternFill>
    </x:fill>
    <x:fill>
      <x:patternFill patternType="solid">
        <x:fgColor rgb="FFF2F2F2"/>
      </x:patternFill>
    </x:fill>
    <x:fill>
      <x:patternFill patternType="solid">
        <x:fgColor rgb="FFE31B23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dc0f565de46c4" /><Relationship Type="http://schemas.openxmlformats.org/officeDocument/2006/relationships/theme" Target="/xl/theme/theme1.xml" Id="R6e172f6de405463c" /><Relationship Type="http://schemas.openxmlformats.org/officeDocument/2006/relationships/sharedStrings" Target="/xl/sharedStrings.xml" Id="Ra1cdee1e084e4fd5" /><Relationship Type="http://schemas.openxmlformats.org/officeDocument/2006/relationships/worksheet" Target="/xl/worksheets/sheet1.xml" Id="R7ef3d9ee5f0e43a8" /><Relationship Type="http://schemas.openxmlformats.org/officeDocument/2006/relationships/worksheet" Target="/xl/worksheets/sheet2.xml" Id="R1f3de52d883e4b58" /><Relationship Type="http://schemas.openxmlformats.org/officeDocument/2006/relationships/worksheet" Target="/xl/worksheets/sheet3.xml" Id="R1578a30efd944789" /><Relationship Type="http://schemas.openxmlformats.org/officeDocument/2006/relationships/worksheet" Target="/xl/worksheets/sheet4.xml" Id="R2af9108d6c0343ac" /><Relationship Type="http://schemas.openxmlformats.org/officeDocument/2006/relationships/worksheet" Target="/xl/worksheets/sheet5.xml" Id="R279c1569ccb04e90" /><Relationship Type="http://schemas.openxmlformats.org/officeDocument/2006/relationships/worksheet" Target="/xl/worksheets/sheet6.xml" Id="Rb3026c0805384af2" /><Relationship Type="http://schemas.openxmlformats.org/officeDocument/2006/relationships/worksheet" Target="/xl/worksheets/sheet7.xml" Id="Rbba87b573e9b444a" /><Relationship Type="http://schemas.openxmlformats.org/officeDocument/2006/relationships/worksheet" Target="/xl/worksheets/sheet8.xml" Id="R51e38566cffb4095" /><Relationship Type="http://schemas.openxmlformats.org/officeDocument/2006/relationships/worksheet" Target="/xl/worksheets/sheet9.xml" Id="Rb79a27b75dab4134" /><Relationship Type="http://schemas.openxmlformats.org/officeDocument/2006/relationships/worksheet" Target="/xl/worksheets/sheet10.xml" Id="Rd07b49603b2a4b64" /><Relationship Type="http://schemas.openxmlformats.org/officeDocument/2006/relationships/worksheet" Target="/xl/worksheets/sheet11.xml" Id="Re5d3a05b7ad34c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3e60039a8744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d472aaba52342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4a9b88a64cf455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2026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2030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'Dashboard'!$F$5:$F$7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Puntaje EIU (0–10)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  <c:majorUnit val="0.5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Democracia: Perú, América Latina y mundo (2020–2025)</a:t>
            </a:r>
          </a:p>
        </c:rich>
      </c:tx>
    </c:title>
    <c:plotArea>
      <c:lineChart>
        <c:grouping val="standard"/>
        <c:ser>
          <c:idx val="0"/>
          <c:order val="0"/>
          <c:tx>
            <c:v>peru_score</c:v>
          </c:tx>
          <c:marker>
            <c:symbol val="none"/>
          </c:marker>
          <c:cat>
            <c:strRef>
              <c:f>'Serie_2020_2025'!$A$2:$A$7</c:f>
              <c:strCache>
                <c:ptCount val="0"/>
              </c:strCache>
            </c:strRef>
          </c:cat>
          <c:val>
            <c:numRef>
              <c:f>'Serie_2020_2025'!$B$2:$B$7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latin_america_score</c:v>
          </c:tx>
          <c:marker>
            <c:symbol val="none"/>
          </c:marker>
          <c:cat>
            <c:strRef>
              <c:f>'Serie_2020_2025'!$A$2:$A$7</c:f>
              <c:strCache>
                <c:ptCount val="0"/>
              </c:strCache>
            </c:strRef>
          </c:cat>
          <c:val>
            <c:numRef>
              <c:f>'Serie_2020_2025'!$C$2:$C$7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world_score</c:v>
          </c:tx>
          <c:marker>
            <c:symbol val="none"/>
          </c:marker>
          <c:cat>
            <c:strRef>
              <c:f>'Serie_2020_2025'!$A$2:$A$7</c:f>
              <c:strCache>
                <c:ptCount val="0"/>
              </c:strCache>
            </c:strRef>
          </c:cat>
          <c:val>
            <c:numRef>
              <c:f>'Serie_2020_2025'!$D$2:$D$7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Subíndices 2025: Perú (modelado), América Latina y mundo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'Categorias_2020_2025'!$B$27:$B$31</c:f>
              <c:strCache>
                <c:ptCount val="0"/>
              </c:strCache>
            </c:strRef>
          </c:cat>
          <c:val>
            <c:numRef>
              <c:f>'Categorias_2020_2025'!$C$27:$C$31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'Categorias_2020_2025'!$B$27:$B$31</c:f>
              <c:strCache>
                <c:ptCount val="0"/>
              </c:strCache>
            </c:strRef>
          </c:cat>
          <c:val>
            <c:numRef>
              <c:f>'Categorias_2020_2025'!$D$27:$D$31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'Categorias_2020_2025'!$B$27:$B$31</c:f>
              <c:strCache>
                <c:ptCount val="0"/>
              </c:strCache>
            </c:strRef>
          </c:cat>
          <c:val>
            <c:numRef>
              <c:f>'Categorias_2020_2025'!$E$27:$E$31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'Categorias_2020_2025'!$B$27:$B$31</c:f>
              <c:strCache>
                <c:ptCount val="0"/>
              </c:strCache>
            </c:strRef>
          </c:cat>
          <c:val>
            <c:numRef>
              <c:f>'Categorias_2020_2025'!$F$27:$F$31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e60039a8744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472aaba523423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a9b88a64cf45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9b1d7521b34c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39200bd531d4f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9d6d95746464e5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4" max="4" width="42" hidden="0" customWidth="1"/>
    <x:col min="7" max="7" width="20" hidden="0" customWidth="1"/>
    <x:col min="8" max="8" width="14" hidden="0" customWidth="1"/>
  </x:cols>
  <x:sheetData>
    <x:row r="1">
      <x:c r="A1" s="4" t="str">
        <x:v>Visor Integrado de Democracia del Perú | 2020–2030 | v2.0.0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Indicador</x:v>
      </x:c>
      <x:c r="B4" s="12" t="str">
        <x:v>Valor</x:v>
      </x:c>
      <x:c r="D4" s="12" t="str">
        <x:v>Escenario</x:v>
      </x:c>
      <x:c r="E4" s="12" t="str">
        <x:v>2026</x:v>
      </x:c>
      <x:c r="F4" s="12" t="str">
        <x:v>2030</x:v>
      </x:c>
      <x:c r="G4" s="12" t="str">
        <x:v>Régimen 2030</x:v>
      </x:c>
      <x:c r="H4" s="12" t="str">
        <x:v>Tipo</x:v>
      </x:c>
    </x:row>
    <x:row r="5">
      <x:c r="A5" s="21" t="str">
        <x:v>Perú 2025 (observado)</x:v>
      </x:c>
      <x:c r="B5" s="26" t="n">
        <x:v>5.88</x:v>
      </x:c>
      <x:c r="D5" s="28" t="str">
        <x:v>Recuperación institucional y gobernabilidad negociada</x:v>
      </x:c>
      <x:c r="E5" s="30" t="n">
        <x:v>5.984</x:v>
      </x:c>
      <x:c r="F5" s="30" t="n">
        <x:v>6.222</x:v>
      </x:c>
      <x:c r="G5" s="28" t="str">
        <x:v>Flawed democracy</x:v>
      </x:c>
      <x:c r="H5" s="28" t="str">
        <x:v>favorable</x:v>
      </x:c>
    </x:row>
    <x:row r="6">
      <x:c r="A6" s="21" t="str">
        <x:v>Ranking 2025</x:v>
      </x:c>
      <x:c r="B6" s="21" t="n">
        <x:v>76</x:v>
      </x:c>
      <x:c r="D6" s="28" t="str">
        <x:v>Continuidad híbrida y estabilización competitiva</x:v>
      </x:c>
      <x:c r="E6" s="30" t="n">
        <x:v>5.86</x:v>
      </x:c>
      <x:c r="F6" s="30" t="n">
        <x:v>5.874</x:v>
      </x:c>
      <x:c r="G6" s="28" t="str">
        <x:v>Hybrid regime</x:v>
      </x:c>
      <x:c r="H6" s="28" t="str">
        <x:v>baseline</x:v>
      </x:c>
    </x:row>
    <x:row r="7">
      <x:c r="A7" s="21" t="str">
        <x:v>Régimen 2025</x:v>
      </x:c>
      <x:c r="B7" s="21" t="str">
        <x:v>Hybrid regime</x:v>
      </x:c>
      <x:c r="D7" s="28" t="str">
        <x:v>Deriva restrictiva y securitización</x:v>
      </x:c>
      <x:c r="E7" s="30" t="n">
        <x:v>5.708</x:v>
      </x:c>
      <x:c r="F7" s="30" t="n">
        <x:v>5.348</x:v>
      </x:c>
      <x:c r="G7" s="28" t="str">
        <x:v>Hybrid regime</x:v>
      </x:c>
      <x:c r="H7" s="28" t="str">
        <x:v>adverse</x:v>
      </x:c>
    </x:row>
    <x:row r="8">
      <x:c r="A8" s="21" t="str">
        <x:v>Δ 2024→2025</x:v>
      </x:c>
      <x:c r="B8" s="26" t="n">
        <x:v>0.19</x:v>
      </x:c>
    </x:row>
    <x:row r="9">
      <x:c r="A9" s="21" t="str">
        <x:v>Promedio América Latina 2025</x:v>
      </x:c>
      <x:c r="B9" s="26" t="n">
        <x:v>5.71</x:v>
      </x:c>
    </x:row>
    <x:row r="11">
      <x:c r="A11" s="35" t="str">
        <x:v>Nota científica: el reporte EIU 2025 suministrado contiene el promedio regional y global, pero no publica los cinco subíndices de Perú. El puntaje global 2025 de Perú (5.88) se usa como observado; el vector categorial 2025 es una calibración latente auditada exclusivamente para el motor de escenarios.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4">
      <x:c r="A14" s="44" t="str">
        <x:v>Gráficos de control</x:v>
      </x:c>
      <x:c r="B14" s="44" t="str">
        <x:v>Gráficos de control</x:v>
      </x:c>
      <x:c r="C14" s="44" t="str">
        <x:v>Gráficos de control</x:v>
      </x:c>
      <x:c r="D14" s="44" t="str">
        <x:v>Gráficos de control</x:v>
      </x:c>
      <x:c r="E14" s="44" t="str">
        <x:v>Gráficos de control</x:v>
      </x:c>
      <x:c r="F14" s="44" t="str">
        <x:v>Gráficos de control</x:v>
      </x:c>
      <x:c r="G14" s="44" t="str">
        <x:v>Gráficos de control</x:v>
      </x:c>
      <x:c r="H14" s="44" t="str">
        <x:v>Gráficos de control</x:v>
      </x:c>
    </x:row>
  </x:sheetData>
  <x:mergeCells>
    <x:mergeCell ref="A1:H2"/>
    <x:mergeCell ref="A11:H12"/>
    <x:mergeCell ref="A14:H14"/>
  </x:mergeCells>
  <x:conditionalFormatting sqref="E5:F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c09b1d7521b34c6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5.880000114440918" hidden="0" customWidth="1"/>
    <x:col min="4" max="4" width="9.880000114440918" hidden="0" customWidth="1"/>
    <x:col min="5" max="5" width="18" hidden="0" customWidth="1"/>
    <x:col min="6" max="6" width="14.880000114440918" hidden="0" customWidth="1"/>
    <x:col min="7" max="7" width="15" hidden="0" customWidth="1"/>
    <x:col min="8" max="8" width="15.75" hidden="0" customWidth="1"/>
    <x:col min="9" max="9" width="20.8799991607666" hidden="0" customWidth="1"/>
    <x:col min="10" max="10" width="27.75" hidden="0" customWidth="1"/>
    <x:col min="11" max="11" width="21.75" hidden="0" customWidth="1"/>
    <x:col min="12" max="12" width="34" hidden="0" customWidth="1"/>
    <x:col min="13" max="13" width="34" hidden="0" customWidth="1"/>
    <x:col min="14" max="14" width="34" hidden="0" customWidth="1"/>
    <x:col min="15" max="15" width="10" hidden="0" customWidth="1"/>
    <x:col min="16" max="16" width="34" hidden="0" customWidth="1"/>
  </x:cols>
  <x:sheetData>
    <x:row r="1">
      <x:c r="A1" s="12" t="str">
        <x:v>year</x:v>
      </x:c>
      <x:c r="B1" s="12" t="str">
        <x:v>peru_score</x:v>
      </x:c>
      <x:c r="C1" s="12" t="str">
        <x:v>latin_america_score</x:v>
      </x:c>
      <x:c r="D1" s="12" t="str">
        <x:v>world_score</x:v>
      </x:c>
      <x:c r="E1" s="12" t="str">
        <x:v>peru_regime_type</x:v>
      </x:c>
      <x:c r="F1" s="12" t="str">
        <x:v>peru_minus_latam</x:v>
      </x:c>
      <x:c r="G1" s="12" t="str">
        <x:v>peru_minus_world</x:v>
      </x:c>
      <x:c r="H1" s="12" t="str">
        <x:v>latam_minus_world</x:v>
      </x:c>
      <x:c r="I1" s="12" t="str">
        <x:v>peru_pct_change_vs_2020</x:v>
      </x:c>
      <x:c r="J1" s="12" t="str">
        <x:v>latin_america_pct_change_vs_2020</x:v>
      </x:c>
      <x:c r="K1" s="12" t="str">
        <x:v>world_pct_change_vs_2020</x:v>
      </x:c>
      <x:c r="L1" s="12" t="str">
        <x:v>source_peru</x:v>
      </x:c>
      <x:c r="M1" s="12" t="str">
        <x:v>source_latam</x:v>
      </x:c>
      <x:c r="N1" s="12" t="str">
        <x:v>source_world</x:v>
      </x:c>
      <x:c r="O1" s="12" t="str">
        <x:v>peru_rank</x:v>
      </x:c>
      <x:c r="P1" s="12" t="str">
        <x:v>data_status_peru</x:v>
      </x:c>
    </x:row>
    <x:row r="2">
      <x:c r="A2" s="28" t="n">
        <x:v>2020</x:v>
      </x:c>
      <x:c r="B2" s="50" t="n">
        <x:v>6.53</x:v>
      </x:c>
      <x:c r="C2" s="50" t="n">
        <x:v>6.09</x:v>
      </x:c>
      <x:c r="D2" s="50" t="n">
        <x:v>5.37</x:v>
      </x:c>
      <x:c r="E2" s="50" t="str">
        <x:v>Flawed democracy</x:v>
      </x:c>
      <x:c r="F2" s="50" t="n">
        <x:f>B2-C2</x:f>
        <x:v>0.4400000000000004</x:v>
      </x:c>
      <x:c r="G2" s="50" t="n">
        <x:f>B2-D2</x:f>
        <x:v>1.1600000000000001</x:v>
      </x:c>
      <x:c r="H2" s="50" t="n">
        <x:f>C2-D2</x:f>
        <x:v>0.7199999999999998</x:v>
      </x:c>
      <x:c r="I2" s="50" t="n">
        <x:f>(B2/$B$2-1)*100</x:f>
        <x:v>0</x:v>
      </x:c>
      <x:c r="J2" s="50" t="n">
        <x:f>(C2/$C$2-1)*100</x:f>
        <x:v>0</x:v>
      </x:c>
      <x:c r="K2" s="50" t="n">
        <x:f>(D2/$D$2-1)*100</x:f>
        <x:v>0</x:v>
      </x:c>
      <x:c r="L2" s="28" t="str">
        <x:v>EIU, Democracy Index 2020, Table 8, p. 37</x:v>
      </x:c>
      <x:c r="M2" s="28" t="str">
        <x:v>EIU, Democracy Index 2020, Chart 7/Table 8, p. 37</x:v>
      </x:c>
      <x:c r="N2" s="28" t="str">
        <x:v>EIU, Democracy Index 2020, overview + Chart 7, pp. 3–4, 37</x:v>
      </x:c>
      <x:c r="O2" s="28" t="n">
        <x:v>57</x:v>
      </x:c>
      <x:c r="P2" s="28" t="str">
        <x:v>observed_EIU</x:v>
      </x:c>
    </x:row>
    <x:row r="3">
      <x:c r="A3" s="28" t="n">
        <x:v>2021</x:v>
      </x:c>
      <x:c r="B3" s="50" t="n">
        <x:v>6.09</x:v>
      </x:c>
      <x:c r="C3" s="50" t="n">
        <x:v>5.83</x:v>
      </x:c>
      <x:c r="D3" s="50" t="n">
        <x:v>5.28</x:v>
      </x:c>
      <x:c r="E3" s="50" t="str">
        <x:v>Flawed democracy</x:v>
      </x:c>
      <x:c r="F3" s="50" t="n">
        <x:f>B3-C3</x:f>
        <x:v>0.2599999999999998</x:v>
      </x:c>
      <x:c r="G3" s="50" t="n">
        <x:f>B3-D3</x:f>
        <x:v>0.8099999999999996</x:v>
      </x:c>
      <x:c r="H3" s="50" t="n">
        <x:f>C3-D3</x:f>
        <x:v>0.5499999999999998</x:v>
      </x:c>
      <x:c r="I3" s="50" t="n">
        <x:f>(B3/$B$2-1)*100</x:f>
        <x:v>-6.738131699846861</x:v>
      </x:c>
      <x:c r="J3" s="50" t="n">
        <x:f>(C3/$C$2-1)*100</x:f>
        <x:v>-4.269293924466333</x:v>
      </x:c>
      <x:c r="K3" s="50" t="n">
        <x:f>(D3/$D$2-1)*100</x:f>
        <x:v>-1.6759776536312776</x:v>
      </x:c>
      <x:c r="L3" s="28" t="str">
        <x:v>EIU, Democracy Index 2021, Table 8, p. 49</x:v>
      </x:c>
      <x:c r="M3" s="28" t="str">
        <x:v>EIU, Democracy Index 2021, category chart, pp. 48–49</x:v>
      </x:c>
      <x:c r="N3" s="28" t="str">
        <x:v>EIU, Democracy Index 2021, category chart, pp. 48–49</x:v>
      </x:c>
      <x:c r="O3" s="28"/>
      <x:c r="P3" s="28" t="str">
        <x:v>observed_EIU</x:v>
      </x:c>
    </x:row>
    <x:row r="4">
      <x:c r="A4" s="28" t="n">
        <x:v>2022</x:v>
      </x:c>
      <x:c r="B4" s="50" t="n">
        <x:v>5.92</x:v>
      </x:c>
      <x:c r="C4" s="50" t="n">
        <x:v>5.79</x:v>
      </x:c>
      <x:c r="D4" s="50" t="n">
        <x:v>5.29</x:v>
      </x:c>
      <x:c r="E4" s="50" t="str">
        <x:v>Hybrid regime</x:v>
      </x:c>
      <x:c r="F4" s="50" t="n">
        <x:f>B4-C4</x:f>
        <x:v>0.1299999999999999</x:v>
      </x:c>
      <x:c r="G4" s="50" t="n">
        <x:f>B4-D4</x:f>
        <x:v>0.6299999999999999</x:v>
      </x:c>
      <x:c r="H4" s="50" t="n">
        <x:f>C4-D4</x:f>
        <x:v>0.5</x:v>
      </x:c>
      <x:c r="I4" s="50" t="n">
        <x:f>(B4/$B$2-1)*100</x:f>
        <x:v>-9.341500765696786</x:v>
      </x:c>
      <x:c r="J4" s="50" t="n">
        <x:f>(C4/$C$2-1)*100</x:f>
        <x:v>-4.92610837438423</x:v>
      </x:c>
      <x:c r="K4" s="50" t="n">
        <x:f>(D4/$D$2-1)*100</x:f>
        <x:v>-1.4897579143389184</x:v>
      </x:c>
      <x:c r="L4" s="28" t="str">
        <x:v>EIU, Democracy Index 2022, Table 8, pp. 43–44</x:v>
      </x:c>
      <x:c r="M4" s="28" t="str">
        <x:v>EIU, Democracy Index 2022, category chart, pp. 43–45</x:v>
      </x:c>
      <x:c r="N4" s="28" t="str">
        <x:v>EIU, Democracy Index 2022, overview + chart, pp. 3–7, 43–45</x:v>
      </x:c>
      <x:c r="O4" s="28" t="n">
        <x:v>75</x:v>
      </x:c>
      <x:c r="P4" s="28" t="str">
        <x:v>observed_EIU</x:v>
      </x:c>
    </x:row>
    <x:row r="5">
      <x:c r="A5" s="28" t="n">
        <x:v>2023</x:v>
      </x:c>
      <x:c r="B5" s="50" t="n">
        <x:v>5.81</x:v>
      </x:c>
      <x:c r="C5" s="50" t="n">
        <x:v>5.68</x:v>
      </x:c>
      <x:c r="D5" s="50" t="n">
        <x:v>5.23</x:v>
      </x:c>
      <x:c r="E5" s="50" t="str">
        <x:v>Hybrid regime</x:v>
      </x:c>
      <x:c r="F5" s="50" t="n">
        <x:f>B5-C5</x:f>
        <x:v>0.1299999999999999</x:v>
      </x:c>
      <x:c r="G5" s="50" t="n">
        <x:f>B5-D5</x:f>
        <x:v>0.5799999999999992</x:v>
      </x:c>
      <x:c r="H5" s="50" t="n">
        <x:f>C5-D5</x:f>
        <x:v>0.4499999999999993</x:v>
      </x:c>
      <x:c r="I5" s="50" t="n">
        <x:f>(B5/$B$2-1)*100</x:f>
        <x:v>-11.02603369065851</x:v>
      </x:c>
      <x:c r="J5" s="50" t="n">
        <x:f>(C5/$C$2-1)*100</x:f>
        <x:v>-6.732348111658459</x:v>
      </x:c>
      <x:c r="K5" s="50" t="n">
        <x:f>(D5/$D$2-1)*100</x:f>
        <x:v>-2.607076350093107</x:v>
      </x:c>
      <x:c r="L5" s="28" t="str">
        <x:v>EIU, Democracy Index 2023, Table 2, p. 13</x:v>
      </x:c>
      <x:c r="M5" s="28" t="str">
        <x:v>EIU, Democracy Index 2023, category chart, pp. 45–46</x:v>
      </x:c>
      <x:c r="N5" s="28" t="str">
        <x:v>EIU, Democracy Index 2023, overview + chart, pp. 3–5, 45–46</x:v>
      </x:c>
      <x:c r="O5" s="28"/>
      <x:c r="P5" s="28" t="str">
        <x:v>observed_EIU</x:v>
      </x:c>
    </x:row>
    <x:row r="6">
      <x:c r="A6" s="28" t="n">
        <x:v>2024</x:v>
      </x:c>
      <x:c r="B6" s="50" t="n">
        <x:v>5.69</x:v>
      </x:c>
      <x:c r="C6" s="50" t="n">
        <x:v>5.61</x:v>
      </x:c>
      <x:c r="D6" s="50" t="n">
        <x:v>5.17</x:v>
      </x:c>
      <x:c r="E6" s="50" t="str">
        <x:v>Hybrid regime</x:v>
      </x:c>
      <x:c r="F6" s="50" t="n">
        <x:f>B6-C6</x:f>
        <x:v>0.08000000000000007</x:v>
      </x:c>
      <x:c r="G6" s="50" t="n">
        <x:f>B6-D6</x:f>
        <x:v>0.5200000000000005</x:v>
      </x:c>
      <x:c r="H6" s="50" t="n">
        <x:f>C6-D6</x:f>
        <x:v>0.4400000000000004</x:v>
      </x:c>
      <x:c r="I6" s="50" t="n">
        <x:f>(B6/$B$2-1)*100</x:f>
        <x:v>-12.863705972434914</x:v>
      </x:c>
      <x:c r="J6" s="50" t="n">
        <x:f>(C6/$C$2-1)*100</x:f>
        <x:v>-7.881773399014769</x:v>
      </x:c>
      <x:c r="K6" s="50" t="n">
        <x:f>(D6/$D$2-1)*100</x:f>
        <x:v>-3.724394785847307</x:v>
      </x:c>
      <x:c r="L6" s="28" t="str">
        <x:v>EIU, Democracy Index 2024, Table 2, p. 18 / Table 6, p. 54</x:v>
      </x:c>
      <x:c r="M6" s="28" t="str">
        <x:v>EIU, Democracy Index 2024, Table 6, pp. 53–54</x:v>
      </x:c>
      <x:c r="N6" s="28" t="str">
        <x:v>EIU, Democracy Index 2024, overview + category chart, pp. 6–12, 43</x:v>
      </x:c>
      <x:c r="O6" s="28" t="n">
        <x:v>78</x:v>
      </x:c>
      <x:c r="P6" s="28" t="str">
        <x:v>observed_EIU</x:v>
      </x:c>
    </x:row>
    <x:row r="7">
      <x:c r="A7" s="28" t="n">
        <x:v>2025</x:v>
      </x:c>
      <x:c r="B7" s="50" t="n">
        <x:v>5.88</x:v>
      </x:c>
      <x:c r="C7" s="50" t="n">
        <x:v>5.71</x:v>
      </x:c>
      <x:c r="D7" s="50" t="n">
        <x:v>5.19</x:v>
      </x:c>
      <x:c r="E7" s="50" t="str">
        <x:v>Hybrid regime</x:v>
      </x:c>
      <x:c r="F7" s="50" t="n">
        <x:f>B7-C7</x:f>
        <x:v>0.16999999999999993</x:v>
      </x:c>
      <x:c r="G7" s="50" t="n">
        <x:f>B7-D7</x:f>
        <x:v>0.6899999999999995</x:v>
      </x:c>
      <x:c r="H7" s="50" t="n">
        <x:f>C7-D7</x:f>
        <x:v>0.5199999999999996</x:v>
      </x:c>
      <x:c r="I7" s="50" t="n">
        <x:f>(B7/$B$2-1)*100</x:f>
        <x:v>-9.954058192955594</x:v>
      </x:c>
      <x:c r="J7" s="50" t="n">
        <x:f>(C7/$C$2-1)*100</x:f>
        <x:v>-6.239737274220037</x:v>
      </x:c>
      <x:c r="K7" s="50" t="n">
        <x:f>(D7/$D$2-1)*100</x:f>
        <x:v>-3.3519553072625663</x:v>
      </x:c>
      <x:c r="L7" s="28" t="str">
        <x:v>EIU Democracy Index 2025 overall score replicated in current cross-country time-series table (secondary verification); EIU summary report supplied by user does not publish Peru country table.</x:v>
      </x:c>
      <x:c r="M7" s="28" t="str">
        <x:v>EIU, Democracy Index 2025, Latin America and the Caribbean, Figure 14 / p. 24.</x:v>
      </x:c>
      <x:c r="N7" s="28" t="str">
        <x:v>EIU, Democracy Index 2025, Figure 14 / p. 24.</x:v>
      </x:c>
      <x:c r="O7" s="28" t="n">
        <x:v>76</x:v>
      </x:c>
      <x:c r="P7" s="28" t="str">
        <x:v>observed_EIU_secondary_replication</x:v>
      </x:c>
    </x:row>
  </x:sheetData>
  <x:pageMargins left="0.7" right="0.7" top="0.75" bottom="0.75" header="0.3" footer="0.3"/>
  <x:drawing xmlns:r="http://schemas.openxmlformats.org/officeDocument/2006/relationships" r:id="R239200bd531d4fff"/>
</x:worksheet>
</file>

<file path=xl/worksheets/sheet3.xml><?xml version="1.0" encoding="utf-8"?>
<x:worksheet xmlns:x="http://schemas.openxmlformats.org/spreadsheetml/2006/main">
  <x:sheetFormatPr defaultRowHeight="15"/>
  <x:cols>
    <x:col min="1" max="1" width="3.880000114440918" hidden="0" customWidth="1"/>
    <x:col min="2" max="2" width="28" hidden="0" customWidth="1"/>
    <x:col min="3" max="3" width="28" hidden="0" customWidth="1"/>
    <x:col min="4" max="4" width="9" hidden="0" customWidth="1"/>
    <x:col min="5" max="5" width="15.880000114440918" hidden="0" customWidth="1"/>
    <x:col min="6" max="6" width="9.880000114440918" hidden="0" customWidth="1"/>
    <x:col min="7" max="7" width="14.880000114440918" hidden="0" customWidth="1"/>
    <x:col min="8" max="8" width="15" hidden="0" customWidth="1"/>
    <x:col min="9" max="9" width="15.75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12" t="str">
        <x:v>year</x:v>
      </x:c>
      <x:c r="B1" s="12" t="str">
        <x:v>category</x:v>
      </x:c>
      <x:c r="C1" s="12" t="str">
        <x:v>category_full</x:v>
      </x:c>
      <x:c r="D1" s="12" t="str">
        <x:v>peru_score</x:v>
      </x:c>
      <x:c r="E1" s="12" t="str">
        <x:v>latin_america_score</x:v>
      </x:c>
      <x:c r="F1" s="12" t="str">
        <x:v>world_score</x:v>
      </x:c>
      <x:c r="G1" s="12" t="str">
        <x:v>peru_minus_latam</x:v>
      </x:c>
      <x:c r="H1" s="12" t="str">
        <x:v>peru_minus_world</x:v>
      </x:c>
      <x:c r="I1" s="12" t="str">
        <x:v>latam_minus_world</x:v>
      </x:c>
      <x:c r="J1" s="12" t="str">
        <x:v>source_peru</x:v>
      </x:c>
      <x:c r="K1" s="12" t="str">
        <x:v>source_latam</x:v>
      </x:c>
      <x:c r="L1" s="12" t="str">
        <x:v>source_world</x:v>
      </x:c>
      <x:c r="M1" s="12" t="str">
        <x:v>data_status_peru</x:v>
      </x:c>
      <x:c r="N1" s="12" t="str">
        <x:v>data_status_latam</x:v>
      </x:c>
      <x:c r="O1" s="12" t="str">
        <x:v>data_status_world</x:v>
      </x:c>
    </x:row>
    <x:row r="2">
      <x:c r="A2" s="28" t="n">
        <x:v>2020</x:v>
      </x:c>
      <x:c r="B2" s="28" t="str">
        <x:v>Libertades civiles</x:v>
      </x:c>
      <x:c r="C2" s="28" t="str">
        <x:v>Civil liberties</x:v>
      </x:c>
      <x:c r="D2" s="50" t="n">
        <x:v>7.35</x:v>
      </x:c>
      <x:c r="E2" s="50" t="n">
        <x:v>6.79</x:v>
      </x:c>
      <x:c r="F2" s="50" t="n">
        <x:v>5.56</x:v>
      </x:c>
      <x:c r="G2" s="50" t="n">
        <x:v>0.56</x:v>
      </x:c>
      <x:c r="H2" s="50" t="n">
        <x:v>1.79</x:v>
      </x:c>
      <x:c r="I2" s="50" t="n">
        <x:v>1.23</x:v>
      </x:c>
      <x:c r="J2" s="28" t="str">
        <x:v>EIU, Democracy Index 2020, Table 8, p. 37</x:v>
      </x:c>
      <x:c r="K2" s="28" t="str">
        <x:v>EIU, Democracy Index 2020, Chart 7/Table 8, p. 37</x:v>
      </x:c>
      <x:c r="L2" s="28" t="str">
        <x:v>EIU, Democracy Index 2020, overview + Chart 7, pp. 3–4, 37</x:v>
      </x:c>
      <x:c r="M2" s="28" t="str">
        <x:v>observed_EIU</x:v>
      </x:c>
      <x:c r="N2" s="28" t="str">
        <x:v>observed_EIU</x:v>
      </x:c>
      <x:c r="O2" s="28" t="str">
        <x:v>observed_EIU</x:v>
      </x:c>
    </x:row>
    <x:row r="3">
      <x:c r="A3" s="28" t="n">
        <x:v>2020</x:v>
      </x:c>
      <x:c r="B3" s="28" t="str">
        <x:v>Proceso electoral</x:v>
      </x:c>
      <x:c r="C3" s="28" t="str">
        <x:v>Electoral process and pluralism</x:v>
      </x:c>
      <x:c r="D3" s="50" t="n">
        <x:v>8.75</x:v>
      </x:c>
      <x:c r="E3" s="50" t="n">
        <x:v>7.48</x:v>
      </x:c>
      <x:c r="F3" s="50" t="n">
        <x:v>5.18</x:v>
      </x:c>
      <x:c r="G3" s="50" t="n">
        <x:v>1.27</x:v>
      </x:c>
      <x:c r="H3" s="50" t="n">
        <x:v>3.57</x:v>
      </x:c>
      <x:c r="I3" s="50" t="n">
        <x:v>2.3</x:v>
      </x:c>
      <x:c r="J3" s="28" t="str">
        <x:v>EIU, Democracy Index 2020, Table 8, p. 37</x:v>
      </x:c>
      <x:c r="K3" s="28" t="str">
        <x:v>EIU, Democracy Index 2020, Chart 7/Table 8, p. 37</x:v>
      </x:c>
      <x:c r="L3" s="28" t="str">
        <x:v>EIU, Democracy Index 2020, overview + Chart 7, pp. 3–4, 37</x:v>
      </x:c>
      <x:c r="M3" s="28" t="str">
        <x:v>observed_EIU</x:v>
      </x:c>
      <x:c r="N3" s="28" t="str">
        <x:v>observed_EIU</x:v>
      </x:c>
      <x:c r="O3" s="28" t="str">
        <x:v>observed_EIU</x:v>
      </x:c>
    </x:row>
    <x:row r="4">
      <x:c r="A4" s="28" t="n">
        <x:v>2020</x:v>
      </x:c>
      <x:c r="B4" s="28" t="str">
        <x:v>Gobierno</x:v>
      </x:c>
      <x:c r="C4" s="28" t="str">
        <x:v>Functioning of government</x:v>
      </x:c>
      <x:c r="D4" s="50" t="n">
        <x:v>5.36</x:v>
      </x:c>
      <x:c r="E4" s="50" t="n">
        <x:v>5.21</x:v>
      </x:c>
      <x:c r="F4" s="50" t="n">
        <x:v>5.42</x:v>
      </x:c>
      <x:c r="G4" s="50" t="n">
        <x:v>0.15</x:v>
      </x:c>
      <x:c r="H4" s="50" t="n">
        <x:v>-0.06</x:v>
      </x:c>
      <x:c r="I4" s="50" t="n">
        <x:v>-0.21</x:v>
      </x:c>
      <x:c r="J4" s="28" t="str">
        <x:v>EIU, Democracy Index 2020, Table 8, p. 37</x:v>
      </x:c>
      <x:c r="K4" s="28" t="str">
        <x:v>EIU, Democracy Index 2020, Chart 7/Table 8, p. 37</x:v>
      </x:c>
      <x:c r="L4" s="28" t="str">
        <x:v>EIU, Democracy Index 2020, overview + Chart 7, pp. 3–4, 37</x:v>
      </x:c>
      <x:c r="M4" s="28" t="str">
        <x:v>observed_EIU</x:v>
      </x:c>
      <x:c r="N4" s="28" t="str">
        <x:v>observed_EIU</x:v>
      </x:c>
      <x:c r="O4" s="28" t="str">
        <x:v>observed_EIU</x:v>
      </x:c>
    </x:row>
    <x:row r="5">
      <x:c r="A5" s="28" t="n">
        <x:v>2020</x:v>
      </x:c>
      <x:c r="B5" s="28" t="str">
        <x:v>Cultura política</x:v>
      </x:c>
      <x:c r="C5" s="28" t="str">
        <x:v>Political culture</x:v>
      </x:c>
      <x:c r="D5" s="50" t="n">
        <x:v>5.63</x:v>
      </x:c>
      <x:c r="E5" s="50" t="n">
        <x:v>4.71</x:v>
      </x:c>
      <x:c r="F5" s="50" t="n">
        <x:v>5.79</x:v>
      </x:c>
      <x:c r="G5" s="50" t="n">
        <x:v>0.92</x:v>
      </x:c>
      <x:c r="H5" s="50" t="n">
        <x:v>-0.16</x:v>
      </x:c>
      <x:c r="I5" s="50" t="n">
        <x:v>-1.08</x:v>
      </x:c>
      <x:c r="J5" s="28" t="str">
        <x:v>EIU, Democracy Index 2020, Table 8, p. 37</x:v>
      </x:c>
      <x:c r="K5" s="28" t="str">
        <x:v>EIU, Democracy Index 2020, Chart 7/Table 8, p. 37</x:v>
      </x:c>
      <x:c r="L5" s="28" t="str">
        <x:v>EIU, Democracy Index 2020, overview + Chart 7, pp. 3–4, 37</x:v>
      </x:c>
      <x:c r="M5" s="28" t="str">
        <x:v>observed_EIU</x:v>
      </x:c>
      <x:c r="N5" s="28" t="str">
        <x:v>observed_EIU</x:v>
      </x:c>
      <x:c r="O5" s="28" t="str">
        <x:v>observed_EIU</x:v>
      </x:c>
    </x:row>
    <x:row r="6">
      <x:c r="A6" s="28" t="n">
        <x:v>2020</x:v>
      </x:c>
      <x:c r="B6" s="28" t="str">
        <x:v>Participación</x:v>
      </x:c>
      <x:c r="C6" s="28" t="str">
        <x:v>Political participation</x:v>
      </x:c>
      <x:c r="D6" s="50" t="n">
        <x:v>5.56</x:v>
      </x:c>
      <x:c r="E6" s="50" t="n">
        <x:v>5.81</x:v>
      </x:c>
      <x:c r="F6" s="50" t="n">
        <x:v>5.52</x:v>
      </x:c>
      <x:c r="G6" s="50" t="n">
        <x:v>-0.25</x:v>
      </x:c>
      <x:c r="H6" s="50" t="n">
        <x:v>0.04</x:v>
      </x:c>
      <x:c r="I6" s="50" t="n">
        <x:v>0.29</x:v>
      </x:c>
      <x:c r="J6" s="28" t="str">
        <x:v>EIU, Democracy Index 2020, Table 8, p. 37</x:v>
      </x:c>
      <x:c r="K6" s="28" t="str">
        <x:v>EIU, Democracy Index 2020, Chart 7/Table 8, p. 37</x:v>
      </x:c>
      <x:c r="L6" s="28" t="str">
        <x:v>EIU, Democracy Index 2020, overview + Chart 7, pp. 3–4, 37</x:v>
      </x:c>
      <x:c r="M6" s="28" t="str">
        <x:v>observed_EIU</x:v>
      </x:c>
      <x:c r="N6" s="28" t="str">
        <x:v>observed_EIU</x:v>
      </x:c>
      <x:c r="O6" s="28" t="str">
        <x:v>observed_EIU</x:v>
      </x:c>
    </x:row>
    <x:row r="7">
      <x:c r="A7" s="28" t="n">
        <x:v>2021</x:v>
      </x:c>
      <x:c r="B7" s="28" t="str">
        <x:v>Libertades civiles</x:v>
      </x:c>
      <x:c r="C7" s="28" t="str">
        <x:v>Civil liberties</x:v>
      </x:c>
      <x:c r="D7" s="50" t="n">
        <x:v>7.06</x:v>
      </x:c>
      <x:c r="E7" s="50" t="n">
        <x:v>6.64</x:v>
      </x:c>
      <x:c r="F7" s="50" t="n">
        <x:v>5.35</x:v>
      </x:c>
      <x:c r="G7" s="50" t="n">
        <x:v>0.42</x:v>
      </x:c>
      <x:c r="H7" s="50" t="n">
        <x:v>1.71</x:v>
      </x:c>
      <x:c r="I7" s="50" t="n">
        <x:v>1.29</x:v>
      </x:c>
      <x:c r="J7" s="28" t="str">
        <x:v>EIU, Democracy Index 2021, Table 8, p. 49</x:v>
      </x:c>
      <x:c r="K7" s="28" t="str">
        <x:v>EIU, Democracy Index 2021, category chart, pp. 48–49</x:v>
      </x:c>
      <x:c r="L7" s="28" t="str">
        <x:v>EIU, Democracy Index 2021, category chart, pp. 48–49</x:v>
      </x:c>
      <x:c r="M7" s="28" t="str">
        <x:v>observed_EIU</x:v>
      </x:c>
      <x:c r="N7" s="28" t="str">
        <x:v>observed_EIU</x:v>
      </x:c>
      <x:c r="O7" s="28" t="str">
        <x:v>observed_EIU</x:v>
      </x:c>
    </x:row>
    <x:row r="8">
      <x:c r="A8" s="28" t="n">
        <x:v>2021</x:v>
      </x:c>
      <x:c r="B8" s="28" t="str">
        <x:v>Proceso electoral</x:v>
      </x:c>
      <x:c r="C8" s="28" t="str">
        <x:v>Electoral process and pluralism</x:v>
      </x:c>
      <x:c r="D8" s="50" t="n">
        <x:v>8.75</x:v>
      </x:c>
      <x:c r="E8" s="50" t="n">
        <x:v>7.35</x:v>
      </x:c>
      <x:c r="F8" s="50" t="n">
        <x:v>5.6</x:v>
      </x:c>
      <x:c r="G8" s="50" t="n">
        <x:v>1.4</x:v>
      </x:c>
      <x:c r="H8" s="50" t="n">
        <x:v>3.15</x:v>
      </x:c>
      <x:c r="I8" s="50" t="n">
        <x:v>1.75</x:v>
      </x:c>
      <x:c r="J8" s="28" t="str">
        <x:v>EIU, Democracy Index 2021, Table 8, p. 49</x:v>
      </x:c>
      <x:c r="K8" s="28" t="str">
        <x:v>EIU, Democracy Index 2021, category chart, pp. 48–49</x:v>
      </x:c>
      <x:c r="L8" s="28" t="str">
        <x:v>EIU, Democracy Index 2021, category chart, pp. 48–49</x:v>
      </x:c>
      <x:c r="M8" s="28" t="str">
        <x:v>observed_EIU</x:v>
      </x:c>
      <x:c r="N8" s="28" t="str">
        <x:v>observed_EIU</x:v>
      </x:c>
      <x:c r="O8" s="28" t="str">
        <x:v>observed_EIU</x:v>
      </x:c>
    </x:row>
    <x:row r="9">
      <x:c r="A9" s="28" t="n">
        <x:v>2021</x:v>
      </x:c>
      <x:c r="B9" s="28" t="str">
        <x:v>Gobierno</x:v>
      </x:c>
      <x:c r="C9" s="28" t="str">
        <x:v>Functioning of government</x:v>
      </x:c>
      <x:c r="D9" s="50" t="n">
        <x:v>5.36</x:v>
      </x:c>
      <x:c r="E9" s="50" t="n">
        <x:v>5.03</x:v>
      </x:c>
      <x:c r="F9" s="50" t="n">
        <x:v>4.62</x:v>
      </x:c>
      <x:c r="G9" s="50" t="n">
        <x:v>0.33</x:v>
      </x:c>
      <x:c r="H9" s="50" t="n">
        <x:v>0.74</x:v>
      </x:c>
      <x:c r="I9" s="50" t="n">
        <x:v>0.41</x:v>
      </x:c>
      <x:c r="J9" s="28" t="str">
        <x:v>EIU, Democracy Index 2021, Table 8, p. 49</x:v>
      </x:c>
      <x:c r="K9" s="28" t="str">
        <x:v>EIU, Democracy Index 2021, category chart, pp. 48–49</x:v>
      </x:c>
      <x:c r="L9" s="28" t="str">
        <x:v>EIU, Democracy Index 2021, category chart, pp. 48–49</x:v>
      </x:c>
      <x:c r="M9" s="28" t="str">
        <x:v>observed_EIU</x:v>
      </x:c>
      <x:c r="N9" s="28" t="str">
        <x:v>observed_EIU</x:v>
      </x:c>
      <x:c r="O9" s="28" t="str">
        <x:v>observed_EIU</x:v>
      </x:c>
    </x:row>
    <x:row r="10">
      <x:c r="A10" s="28" t="n">
        <x:v>2021</x:v>
      </x:c>
      <x:c r="B10" s="28" t="str">
        <x:v>Cultura política</x:v>
      </x:c>
      <x:c r="C10" s="28" t="str">
        <x:v>Political culture</x:v>
      </x:c>
      <x:c r="D10" s="50" t="n">
        <x:v>3.75</x:v>
      </x:c>
      <x:c r="E10" s="50" t="n">
        <x:v>4.53</x:v>
      </x:c>
      <x:c r="F10" s="50" t="n">
        <x:v>5.36</x:v>
      </x:c>
      <x:c r="G10" s="50" t="n">
        <x:v>-0.78</x:v>
      </x:c>
      <x:c r="H10" s="50" t="n">
        <x:v>-1.61</x:v>
      </x:c>
      <x:c r="I10" s="50" t="n">
        <x:v>-0.83</x:v>
      </x:c>
      <x:c r="J10" s="28" t="str">
        <x:v>EIU, Democracy Index 2021, Table 8, p. 49</x:v>
      </x:c>
      <x:c r="K10" s="28" t="str">
        <x:v>EIU, Democracy Index 2021, category chart, pp. 48–49</x:v>
      </x:c>
      <x:c r="L10" s="28" t="str">
        <x:v>EIU, Democracy Index 2021, category chart, pp. 48–49</x:v>
      </x:c>
      <x:c r="M10" s="28" t="str">
        <x:v>observed_EIU</x:v>
      </x:c>
      <x:c r="N10" s="28" t="str">
        <x:v>observed_EIU</x:v>
      </x:c>
      <x:c r="O10" s="28" t="str">
        <x:v>observed_EIU</x:v>
      </x:c>
    </x:row>
    <x:row r="11">
      <x:c r="A11" s="28" t="n">
        <x:v>2021</x:v>
      </x:c>
      <x:c r="B11" s="28" t="str">
        <x:v>Participación</x:v>
      </x:c>
      <x:c r="C11" s="28" t="str">
        <x:v>Political participation</x:v>
      </x:c>
      <x:c r="D11" s="50" t="n">
        <x:v>5.56</x:v>
      </x:c>
      <x:c r="E11" s="50" t="n">
        <x:v>5.58</x:v>
      </x:c>
      <x:c r="F11" s="50" t="n">
        <x:v>5.37</x:v>
      </x:c>
      <x:c r="G11" s="50" t="n">
        <x:v>-0.02</x:v>
      </x:c>
      <x:c r="H11" s="50" t="n">
        <x:v>0.19</x:v>
      </x:c>
      <x:c r="I11" s="50" t="n">
        <x:v>0.21</x:v>
      </x:c>
      <x:c r="J11" s="28" t="str">
        <x:v>EIU, Democracy Index 2021, Table 8, p. 49</x:v>
      </x:c>
      <x:c r="K11" s="28" t="str">
        <x:v>EIU, Democracy Index 2021, category chart, pp. 48–49</x:v>
      </x:c>
      <x:c r="L11" s="28" t="str">
        <x:v>EIU, Democracy Index 2021, category chart, pp. 48–49</x:v>
      </x:c>
      <x:c r="M11" s="28" t="str">
        <x:v>observed_EIU</x:v>
      </x:c>
      <x:c r="N11" s="28" t="str">
        <x:v>observed_EIU</x:v>
      </x:c>
      <x:c r="O11" s="28" t="str">
        <x:v>observed_EIU</x:v>
      </x:c>
    </x:row>
    <x:row r="12">
      <x:c r="A12" s="28" t="n">
        <x:v>2022</x:v>
      </x:c>
      <x:c r="B12" s="28" t="str">
        <x:v>Libertades civiles</x:v>
      </x:c>
      <x:c r="C12" s="28" t="str">
        <x:v>Civil liberties</x:v>
      </x:c>
      <x:c r="D12" s="50" t="n">
        <x:v>6.47</x:v>
      </x:c>
      <x:c r="E12" s="50" t="n">
        <x:v>6.61</x:v>
      </x:c>
      <x:c r="F12" s="50" t="n">
        <x:v>5.43</x:v>
      </x:c>
      <x:c r="G12" s="50" t="n">
        <x:v>-0.14</x:v>
      </x:c>
      <x:c r="H12" s="50" t="n">
        <x:v>1.04</x:v>
      </x:c>
      <x:c r="I12" s="50" t="n">
        <x:v>1.18</x:v>
      </x:c>
      <x:c r="J12" s="28" t="str">
        <x:v>EIU, Democracy Index 2022, Table 8, pp. 43–44</x:v>
      </x:c>
      <x:c r="K12" s="28" t="str">
        <x:v>EIU, Democracy Index 2022, category chart, pp. 43–45</x:v>
      </x:c>
      <x:c r="L12" s="28" t="str">
        <x:v>EIU, Democracy Index 2022, overview + chart, pp. 3–7, 43–45</x:v>
      </x:c>
      <x:c r="M12" s="28" t="str">
        <x:v>observed_EIU</x:v>
      </x:c>
      <x:c r="N12" s="28" t="str">
        <x:v>observed_EIU</x:v>
      </x:c>
      <x:c r="O12" s="28" t="str">
        <x:v>observed_EIU</x:v>
      </x:c>
    </x:row>
    <x:row r="13">
      <x:c r="A13" s="28" t="n">
        <x:v>2022</x:v>
      </x:c>
      <x:c r="B13" s="28" t="str">
        <x:v>Proceso electoral</x:v>
      </x:c>
      <x:c r="C13" s="28" t="str">
        <x:v>Electoral process and pluralism</x:v>
      </x:c>
      <x:c r="D13" s="50" t="n">
        <x:v>8.75</x:v>
      </x:c>
      <x:c r="E13" s="50" t="n">
        <x:v>7.19</x:v>
      </x:c>
      <x:c r="F13" s="50" t="n">
        <x:v>5.59</x:v>
      </x:c>
      <x:c r="G13" s="50" t="n">
        <x:v>1.56</x:v>
      </x:c>
      <x:c r="H13" s="50" t="n">
        <x:v>3.16</x:v>
      </x:c>
      <x:c r="I13" s="50" t="n">
        <x:v>1.6</x:v>
      </x:c>
      <x:c r="J13" s="28" t="str">
        <x:v>EIU, Democracy Index 2022, Table 8, pp. 43–44</x:v>
      </x:c>
      <x:c r="K13" s="28" t="str">
        <x:v>EIU, Democracy Index 2022, category chart, pp. 43–45</x:v>
      </x:c>
      <x:c r="L13" s="28" t="str">
        <x:v>EIU, Democracy Index 2022, overview + chart, pp. 3–7, 43–45</x:v>
      </x:c>
      <x:c r="M13" s="28" t="str">
        <x:v>observed_EIU</x:v>
      </x:c>
      <x:c r="N13" s="28" t="str">
        <x:v>observed_EIU</x:v>
      </x:c>
      <x:c r="O13" s="28" t="str">
        <x:v>observed_EIU</x:v>
      </x:c>
    </x:row>
    <x:row r="14">
      <x:c r="A14" s="28" t="n">
        <x:v>2022</x:v>
      </x:c>
      <x:c r="B14" s="28" t="str">
        <x:v>Gobierno</x:v>
      </x:c>
      <x:c r="C14" s="28" t="str">
        <x:v>Functioning of government</x:v>
      </x:c>
      <x:c r="D14" s="50" t="n">
        <x:v>5.71</x:v>
      </x:c>
      <x:c r="E14" s="50" t="n">
        <x:v>5.07</x:v>
      </x:c>
      <x:c r="F14" s="50" t="n">
        <x:v>4.7</x:v>
      </x:c>
      <x:c r="G14" s="50" t="n">
        <x:v>0.64</x:v>
      </x:c>
      <x:c r="H14" s="50" t="n">
        <x:v>1.01</x:v>
      </x:c>
      <x:c r="I14" s="50" t="n">
        <x:v>0.37</x:v>
      </x:c>
      <x:c r="J14" s="28" t="str">
        <x:v>EIU, Democracy Index 2022, Table 8, pp. 43–44</x:v>
      </x:c>
      <x:c r="K14" s="28" t="str">
        <x:v>EIU, Democracy Index 2022, category chart, pp. 43–45</x:v>
      </x:c>
      <x:c r="L14" s="28" t="str">
        <x:v>EIU, Democracy Index 2022, overview + chart, pp. 3–7, 43–45</x:v>
      </x:c>
      <x:c r="M14" s="28" t="str">
        <x:v>observed_EIU</x:v>
      </x:c>
      <x:c r="N14" s="28" t="str">
        <x:v>observed_EIU</x:v>
      </x:c>
      <x:c r="O14" s="28" t="str">
        <x:v>observed_EIU</x:v>
      </x:c>
    </x:row>
    <x:row r="15">
      <x:c r="A15" s="28" t="n">
        <x:v>2022</x:v>
      </x:c>
      <x:c r="B15" s="28" t="str">
        <x:v>Cultura política</x:v>
      </x:c>
      <x:c r="C15" s="28" t="str">
        <x:v>Political culture</x:v>
      </x:c>
      <x:c r="D15" s="50" t="n">
        <x:v>3.13</x:v>
      </x:c>
      <x:c r="E15" s="50" t="n">
        <x:v>4.11</x:v>
      </x:c>
      <x:c r="F15" s="50" t="n">
        <x:v>5.32</x:v>
      </x:c>
      <x:c r="G15" s="50" t="n">
        <x:v>-0.98</x:v>
      </x:c>
      <x:c r="H15" s="50" t="n">
        <x:v>-2.19</x:v>
      </x:c>
      <x:c r="I15" s="50" t="n">
        <x:v>-1.21</x:v>
      </x:c>
      <x:c r="J15" s="28" t="str">
        <x:v>EIU, Democracy Index 2022, Table 8, pp. 43–44</x:v>
      </x:c>
      <x:c r="K15" s="28" t="str">
        <x:v>EIU, Democracy Index 2022, category chart, pp. 43–45</x:v>
      </x:c>
      <x:c r="L15" s="28" t="str">
        <x:v>EIU, Democracy Index 2022, overview + chart, pp. 3–7, 43–45</x:v>
      </x:c>
      <x:c r="M15" s="28" t="str">
        <x:v>observed_EIU</x:v>
      </x:c>
      <x:c r="N15" s="28" t="str">
        <x:v>observed_EIU</x:v>
      </x:c>
      <x:c r="O15" s="28" t="str">
        <x:v>observed_EIU</x:v>
      </x:c>
    </x:row>
    <x:row r="16">
      <x:c r="A16" s="28" t="n">
        <x:v>2022</x:v>
      </x:c>
      <x:c r="B16" s="28" t="str">
        <x:v>Participación</x:v>
      </x:c>
      <x:c r="C16" s="28" t="str">
        <x:v>Political participation</x:v>
      </x:c>
      <x:c r="D16" s="50" t="n">
        <x:v>5.56</x:v>
      </x:c>
      <x:c r="E16" s="50" t="n">
        <x:v>5.97</x:v>
      </x:c>
      <x:c r="F16" s="50" t="n">
        <x:v>5.44</x:v>
      </x:c>
      <x:c r="G16" s="50" t="n">
        <x:v>-0.41</x:v>
      </x:c>
      <x:c r="H16" s="50" t="n">
        <x:v>0.12</x:v>
      </x:c>
      <x:c r="I16" s="50" t="n">
        <x:v>0.53</x:v>
      </x:c>
      <x:c r="J16" s="28" t="str">
        <x:v>EIU, Democracy Index 2022, Table 8, pp. 43–44</x:v>
      </x:c>
      <x:c r="K16" s="28" t="str">
        <x:v>EIU, Democracy Index 2022, category chart, pp. 43–45</x:v>
      </x:c>
      <x:c r="L16" s="28" t="str">
        <x:v>EIU, Democracy Index 2022, overview + chart, pp. 3–7, 43–45</x:v>
      </x:c>
      <x:c r="M16" s="28" t="str">
        <x:v>observed_EIU</x:v>
      </x:c>
      <x:c r="N16" s="28" t="str">
        <x:v>observed_EIU</x:v>
      </x:c>
      <x:c r="O16" s="28" t="str">
        <x:v>observed_EIU</x:v>
      </x:c>
    </x:row>
    <x:row r="17">
      <x:c r="A17" s="28" t="n">
        <x:v>2023</x:v>
      </x:c>
      <x:c r="B17" s="28" t="str">
        <x:v>Libertades civiles</x:v>
      </x:c>
      <x:c r="C17" s="28" t="str">
        <x:v>Civil liberties</x:v>
      </x:c>
      <x:c r="D17" s="50" t="n">
        <x:v>6.47</x:v>
      </x:c>
      <x:c r="E17" s="50" t="n">
        <x:v>6.54</x:v>
      </x:c>
      <x:c r="F17" s="50" t="n">
        <x:v>5.39</x:v>
      </x:c>
      <x:c r="G17" s="50" t="n">
        <x:v>-0.07</x:v>
      </x:c>
      <x:c r="H17" s="50" t="n">
        <x:v>1.08</x:v>
      </x:c>
      <x:c r="I17" s="50" t="n">
        <x:v>1.15</x:v>
      </x:c>
      <x:c r="J17" s="28" t="str">
        <x:v>EIU, Democracy Index 2023, Table 2, p. 13</x:v>
      </x:c>
      <x:c r="K17" s="28" t="str">
        <x:v>EIU, Democracy Index 2023, category chart, pp. 45–46</x:v>
      </x:c>
      <x:c r="L17" s="28" t="str">
        <x:v>EIU, Democracy Index 2023, overview + chart, pp. 3–5, 45–46</x:v>
      </x:c>
      <x:c r="M17" s="28" t="str">
        <x:v>observed_EIU</x:v>
      </x:c>
      <x:c r="N17" s="28" t="str">
        <x:v>observed_EIU</x:v>
      </x:c>
      <x:c r="O17" s="28" t="str">
        <x:v>observed_EIU</x:v>
      </x:c>
    </x:row>
    <x:row r="18">
      <x:c r="A18" s="28" t="n">
        <x:v>2023</x:v>
      </x:c>
      <x:c r="B18" s="28" t="str">
        <x:v>Proceso electoral</x:v>
      </x:c>
      <x:c r="C18" s="28" t="str">
        <x:v>Electoral process and pluralism</x:v>
      </x:c>
      <x:c r="D18" s="50" t="n">
        <x:v>8.75</x:v>
      </x:c>
      <x:c r="E18" s="50" t="n">
        <x:v>7.07</x:v>
      </x:c>
      <x:c r="F18" s="50" t="n">
        <x:v>5.49</x:v>
      </x:c>
      <x:c r="G18" s="50" t="n">
        <x:v>1.68</x:v>
      </x:c>
      <x:c r="H18" s="50" t="n">
        <x:v>3.26</x:v>
      </x:c>
      <x:c r="I18" s="50" t="n">
        <x:v>1.58</x:v>
      </x:c>
      <x:c r="J18" s="28" t="str">
        <x:v>EIU, Democracy Index 2023, Table 2, p. 13</x:v>
      </x:c>
      <x:c r="K18" s="28" t="str">
        <x:v>EIU, Democracy Index 2023, category chart, pp. 45–46</x:v>
      </x:c>
      <x:c r="L18" s="28" t="str">
        <x:v>EIU, Democracy Index 2023, overview + chart, pp. 3–5, 45–46</x:v>
      </x:c>
      <x:c r="M18" s="28" t="str">
        <x:v>observed_EIU</x:v>
      </x:c>
      <x:c r="N18" s="28" t="str">
        <x:v>observed_EIU</x:v>
      </x:c>
      <x:c r="O18" s="28" t="str">
        <x:v>observed_EIU</x:v>
      </x:c>
    </x:row>
    <x:row r="19">
      <x:c r="A19" s="28" t="n">
        <x:v>2023</x:v>
      </x:c>
      <x:c r="B19" s="28" t="str">
        <x:v>Gobierno</x:v>
      </x:c>
      <x:c r="C19" s="28" t="str">
        <x:v>Functioning of government</x:v>
      </x:c>
      <x:c r="D19" s="50" t="n">
        <x:v>5.71</x:v>
      </x:c>
      <x:c r="E19" s="50" t="n">
        <x:v>5.04</x:v>
      </x:c>
      <x:c r="F19" s="50" t="n">
        <x:v>4.66</x:v>
      </x:c>
      <x:c r="G19" s="50" t="n">
        <x:v>0.67</x:v>
      </x:c>
      <x:c r="H19" s="50" t="n">
        <x:v>1.05</x:v>
      </x:c>
      <x:c r="I19" s="50" t="n">
        <x:v>0.38</x:v>
      </x:c>
      <x:c r="J19" s="28" t="str">
        <x:v>EIU, Democracy Index 2023, Table 2, p. 13</x:v>
      </x:c>
      <x:c r="K19" s="28" t="str">
        <x:v>EIU, Democracy Index 2023, category chart, pp. 45–46</x:v>
      </x:c>
      <x:c r="L19" s="28" t="str">
        <x:v>EIU, Democracy Index 2023, overview + chart, pp. 3–5, 45–46</x:v>
      </x:c>
      <x:c r="M19" s="28" t="str">
        <x:v>observed_EIU</x:v>
      </x:c>
      <x:c r="N19" s="28" t="str">
        <x:v>observed_EIU</x:v>
      </x:c>
      <x:c r="O19" s="28" t="str">
        <x:v>observed_EIU</x:v>
      </x:c>
    </x:row>
    <x:row r="20">
      <x:c r="A20" s="28" t="n">
        <x:v>2023</x:v>
      </x:c>
      <x:c r="B20" s="28" t="str">
        <x:v>Cultura política</x:v>
      </x:c>
      <x:c r="C20" s="28" t="str">
        <x:v>Political culture</x:v>
      </x:c>
      <x:c r="D20" s="50" t="n">
        <x:v>3.13</x:v>
      </x:c>
      <x:c r="E20" s="50" t="n">
        <x:v>4.01</x:v>
      </x:c>
      <x:c r="F20" s="50" t="n">
        <x:v>5.24</x:v>
      </x:c>
      <x:c r="G20" s="50" t="n">
        <x:v>-0.88</x:v>
      </x:c>
      <x:c r="H20" s="50" t="n">
        <x:v>-2.11</x:v>
      </x:c>
      <x:c r="I20" s="50" t="n">
        <x:v>-1.23</x:v>
      </x:c>
      <x:c r="J20" s="28" t="str">
        <x:v>EIU, Democracy Index 2023, Table 2, p. 13</x:v>
      </x:c>
      <x:c r="K20" s="28" t="str">
        <x:v>EIU, Democracy Index 2023, category chart, pp. 45–46</x:v>
      </x:c>
      <x:c r="L20" s="28" t="str">
        <x:v>EIU, Democracy Index 2023, overview + chart, pp. 3–5, 45–46</x:v>
      </x:c>
      <x:c r="M20" s="28" t="str">
        <x:v>observed_EIU</x:v>
      </x:c>
      <x:c r="N20" s="28" t="str">
        <x:v>observed_EIU</x:v>
      </x:c>
      <x:c r="O20" s="28" t="str">
        <x:v>observed_EIU</x:v>
      </x:c>
    </x:row>
    <x:row r="21">
      <x:c r="A21" s="28" t="n">
        <x:v>2023</x:v>
      </x:c>
      <x:c r="B21" s="28" t="str">
        <x:v>Participación</x:v>
      </x:c>
      <x:c r="C21" s="28" t="str">
        <x:v>Political participation</x:v>
      </x:c>
      <x:c r="D21" s="50" t="n">
        <x:v>5</x:v>
      </x:c>
      <x:c r="E21" s="50" t="n">
        <x:v>5.72</x:v>
      </x:c>
      <x:c r="F21" s="50" t="n">
        <x:v>5.34</x:v>
      </x:c>
      <x:c r="G21" s="50" t="n">
        <x:v>-0.72</x:v>
      </x:c>
      <x:c r="H21" s="50" t="n">
        <x:v>-0.34</x:v>
      </x:c>
      <x:c r="I21" s="50" t="n">
        <x:v>0.38</x:v>
      </x:c>
      <x:c r="J21" s="28" t="str">
        <x:v>EIU, Democracy Index 2023, Table 2, p. 13</x:v>
      </x:c>
      <x:c r="K21" s="28" t="str">
        <x:v>EIU, Democracy Index 2023, category chart, pp. 45–46</x:v>
      </x:c>
      <x:c r="L21" s="28" t="str">
        <x:v>EIU, Democracy Index 2023, overview + chart, pp. 3–5, 45–46</x:v>
      </x:c>
      <x:c r="M21" s="28" t="str">
        <x:v>observed_EIU</x:v>
      </x:c>
      <x:c r="N21" s="28" t="str">
        <x:v>observed_EIU</x:v>
      </x:c>
      <x:c r="O21" s="28" t="str">
        <x:v>observed_EIU</x:v>
      </x:c>
    </x:row>
    <x:row r="22">
      <x:c r="A22" s="28" t="n">
        <x:v>2024</x:v>
      </x:c>
      <x:c r="B22" s="28" t="str">
        <x:v>Libertades civiles</x:v>
      </x:c>
      <x:c r="C22" s="28" t="str">
        <x:v>Civil liberties</x:v>
      </x:c>
      <x:c r="D22" s="50" t="n">
        <x:v>6.47</x:v>
      </x:c>
      <x:c r="E22" s="50" t="n">
        <x:v>6.43</x:v>
      </x:c>
      <x:c r="F22" s="50" t="n">
        <x:v>5.35</x:v>
      </x:c>
      <x:c r="G22" s="50" t="n">
        <x:v>0.04</x:v>
      </x:c>
      <x:c r="H22" s="50" t="n">
        <x:v>1.12</x:v>
      </x:c>
      <x:c r="I22" s="50" t="n">
        <x:v>1.08</x:v>
      </x:c>
      <x:c r="J22" s="28" t="str">
        <x:v>EIU, Democracy Index 2024, Table 2, p. 18 / Table 6, p. 54</x:v>
      </x:c>
      <x:c r="K22" s="28" t="str">
        <x:v>EIU, Democracy Index 2024, Table 6, pp. 53–54</x:v>
      </x:c>
      <x:c r="L22" s="28" t="str">
        <x:v>EIU, Democracy Index 2024, overview + category chart, pp. 6–12, 43</x:v>
      </x:c>
      <x:c r="M22" s="28" t="str">
        <x:v>observed_EIU</x:v>
      </x:c>
      <x:c r="N22" s="28" t="str">
        <x:v>observed_EIU</x:v>
      </x:c>
      <x:c r="O22" s="28" t="str">
        <x:v>observed_EIU</x:v>
      </x:c>
    </x:row>
    <x:row r="23">
      <x:c r="A23" s="28" t="n">
        <x:v>2024</x:v>
      </x:c>
      <x:c r="B23" s="28" t="str">
        <x:v>Proceso electoral</x:v>
      </x:c>
      <x:c r="C23" s="28" t="str">
        <x:v>Electoral process and pluralism</x:v>
      </x:c>
      <x:c r="D23" s="50" t="n">
        <x:v>8.75</x:v>
      </x:c>
      <x:c r="E23" s="50" t="n">
        <x:v>7.03</x:v>
      </x:c>
      <x:c r="F23" s="50" t="n">
        <x:v>5.41</x:v>
      </x:c>
      <x:c r="G23" s="50" t="n">
        <x:v>1.72</x:v>
      </x:c>
      <x:c r="H23" s="50" t="n">
        <x:v>3.34</x:v>
      </x:c>
      <x:c r="I23" s="50" t="n">
        <x:v>1.62</x:v>
      </x:c>
      <x:c r="J23" s="28" t="str">
        <x:v>EIU, Democracy Index 2024, Table 2, p. 18 / Table 6, p. 54</x:v>
      </x:c>
      <x:c r="K23" s="28" t="str">
        <x:v>EIU, Democracy Index 2024, Table 6, pp. 53–54</x:v>
      </x:c>
      <x:c r="L23" s="28" t="str">
        <x:v>EIU, Democracy Index 2024, overview + category chart, pp. 6–12, 43</x:v>
      </x:c>
      <x:c r="M23" s="28" t="str">
        <x:v>observed_EIU</x:v>
      </x:c>
      <x:c r="N23" s="28" t="str">
        <x:v>observed_EIU</x:v>
      </x:c>
      <x:c r="O23" s="28" t="str">
        <x:v>observed_EIU</x:v>
      </x:c>
    </x:row>
    <x:row r="24">
      <x:c r="A24" s="28" t="n">
        <x:v>2024</x:v>
      </x:c>
      <x:c r="B24" s="28" t="str">
        <x:v>Gobierno</x:v>
      </x:c>
      <x:c r="C24" s="28" t="str">
        <x:v>Functioning of government</x:v>
      </x:c>
      <x:c r="D24" s="50" t="n">
        <x:v>5.71</x:v>
      </x:c>
      <x:c r="E24" s="50" t="n">
        <x:v>4.92</x:v>
      </x:c>
      <x:c r="F24" s="50" t="n">
        <x:v>4.53</x:v>
      </x:c>
      <x:c r="G24" s="50" t="n">
        <x:v>0.79</x:v>
      </x:c>
      <x:c r="H24" s="50" t="n">
        <x:v>1.18</x:v>
      </x:c>
      <x:c r="I24" s="50" t="n">
        <x:v>0.39</x:v>
      </x:c>
      <x:c r="J24" s="28" t="str">
        <x:v>EIU, Democracy Index 2024, Table 2, p. 18 / Table 6, p. 54</x:v>
      </x:c>
      <x:c r="K24" s="28" t="str">
        <x:v>EIU, Democracy Index 2024, Table 6, pp. 53–54</x:v>
      </x:c>
      <x:c r="L24" s="28" t="str">
        <x:v>EIU, Democracy Index 2024, overview + category chart, pp. 6–12, 43</x:v>
      </x:c>
      <x:c r="M24" s="28" t="str">
        <x:v>observed_EIU</x:v>
      </x:c>
      <x:c r="N24" s="28" t="str">
        <x:v>observed_EIU</x:v>
      </x:c>
      <x:c r="O24" s="28" t="str">
        <x:v>observed_EIU</x:v>
      </x:c>
    </x:row>
    <x:row r="25">
      <x:c r="A25" s="28" t="n">
        <x:v>2024</x:v>
      </x:c>
      <x:c r="B25" s="28" t="str">
        <x:v>Cultura política</x:v>
      </x:c>
      <x:c r="C25" s="28" t="str">
        <x:v>Political culture</x:v>
      </x:c>
      <x:c r="D25" s="50" t="n">
        <x:v>2.5</x:v>
      </x:c>
      <x:c r="E25" s="50" t="n">
        <x:v>3.91</x:v>
      </x:c>
      <x:c r="F25" s="50" t="n">
        <x:v>5.25</x:v>
      </x:c>
      <x:c r="G25" s="50" t="n">
        <x:v>-1.41</x:v>
      </x:c>
      <x:c r="H25" s="50" t="n">
        <x:v>-2.75</x:v>
      </x:c>
      <x:c r="I25" s="50" t="n">
        <x:v>-1.34</x:v>
      </x:c>
      <x:c r="J25" s="28" t="str">
        <x:v>EIU, Democracy Index 2024, Table 2, p. 18 / Table 6, p. 54</x:v>
      </x:c>
      <x:c r="K25" s="28" t="str">
        <x:v>EIU, Democracy Index 2024, Table 6, pp. 53–54</x:v>
      </x:c>
      <x:c r="L25" s="28" t="str">
        <x:v>EIU, Democracy Index 2024, overview + category chart, pp. 6–12, 43</x:v>
      </x:c>
      <x:c r="M25" s="28" t="str">
        <x:v>observed_EIU</x:v>
      </x:c>
      <x:c r="N25" s="28" t="str">
        <x:v>observed_EIU</x:v>
      </x:c>
      <x:c r="O25" s="28" t="str">
        <x:v>observed_EIU</x:v>
      </x:c>
    </x:row>
    <x:row r="26">
      <x:c r="A26" s="28" t="n">
        <x:v>2024</x:v>
      </x:c>
      <x:c r="B26" s="28" t="str">
        <x:v>Participación</x:v>
      </x:c>
      <x:c r="C26" s="28" t="str">
        <x:v>Political participation</x:v>
      </x:c>
      <x:c r="D26" s="50" t="n">
        <x:v>5</x:v>
      </x:c>
      <x:c r="E26" s="50" t="n">
        <x:v>5.74</x:v>
      </x:c>
      <x:c r="F26" s="50" t="n">
        <x:v>5.33</x:v>
      </x:c>
      <x:c r="G26" s="50" t="n">
        <x:v>-0.74</x:v>
      </x:c>
      <x:c r="H26" s="50" t="n">
        <x:v>-0.33</x:v>
      </x:c>
      <x:c r="I26" s="50" t="n">
        <x:v>0.41</x:v>
      </x:c>
      <x:c r="J26" s="28" t="str">
        <x:v>EIU, Democracy Index 2024, Table 2, p. 18 / Table 6, p. 54</x:v>
      </x:c>
      <x:c r="K26" s="28" t="str">
        <x:v>EIU, Democracy Index 2024, Table 6, pp. 53–54</x:v>
      </x:c>
      <x:c r="L26" s="28" t="str">
        <x:v>EIU, Democracy Index 2024, overview + category chart, pp. 6–12, 43</x:v>
      </x:c>
      <x:c r="M26" s="28" t="str">
        <x:v>observed_EIU</x:v>
      </x:c>
      <x:c r="N26" s="28" t="str">
        <x:v>observed_EIU</x:v>
      </x:c>
      <x:c r="O26" s="28" t="str">
        <x:v>observed_EIU</x:v>
      </x:c>
    </x:row>
    <x:row r="27">
      <x:c r="A27" s="28" t="n">
        <x:v>2025</x:v>
      </x:c>
      <x:c r="B27" s="28" t="str">
        <x:v>Libertades civiles</x:v>
      </x:c>
      <x:c r="C27" s="28" t="str">
        <x:v>Civil liberties</x:v>
      </x:c>
      <x:c r="D27" s="50" t="n">
        <x:v>6.42</x:v>
      </x:c>
      <x:c r="E27" s="50" t="n">
        <x:v>6.3</x:v>
      </x:c>
      <x:c r="F27" s="50" t="n">
        <x:v>5.32</x:v>
      </x:c>
      <x:c r="G27" s="50" t="n">
        <x:v>0.12</x:v>
      </x:c>
      <x:c r="H27" s="50" t="n">
        <x:v>1.1</x:v>
      </x:c>
      <x:c r="I27" s="50" t="n">
        <x:v>0.98</x:v>
      </x:c>
      <x:c r="J27" s="28" t="str">
        <x:v>Model-calibrated latent category anchor constrained to Peru overall=5.88; NOT an EIU-published Peru sub-pillar value.</x:v>
      </x:c>
      <x:c r="K27" s="28" t="str">
        <x:v>EIU Democracy Index 2025, Figure 14, p. 24.</x:v>
      </x:c>
      <x:c r="L27" s="28" t="str">
        <x:v>EIU Democracy Index 2025, Figure 14, p. 24.</x:v>
      </x:c>
      <x:c r="M27" s="28" t="str">
        <x:v>modeled_latent_anchor</x:v>
      </x:c>
      <x:c r="N27" s="28" t="str">
        <x:v>observed_EIU</x:v>
      </x:c>
      <x:c r="O27" s="28" t="str">
        <x:v>observed_EIU</x:v>
      </x:c>
    </x:row>
    <x:row r="28">
      <x:c r="A28" s="28" t="n">
        <x:v>2025</x:v>
      </x:c>
      <x:c r="B28" s="28" t="str">
        <x:v>Proceso electoral y pluralismo</x:v>
      </x:c>
      <x:c r="C28" s="28" t="str">
        <x:v>Electoral process and pluralism</x:v>
      </x:c>
      <x:c r="D28" s="50" t="n">
        <x:v>8.88</x:v>
      </x:c>
      <x:c r="E28" s="50" t="n">
        <x:v>7.14</x:v>
      </x:c>
      <x:c r="F28" s="50" t="n">
        <x:v>5.38</x:v>
      </x:c>
      <x:c r="G28" s="50" t="n">
        <x:v>1.74</x:v>
      </x:c>
      <x:c r="H28" s="50" t="n">
        <x:v>3.5</x:v>
      </x:c>
      <x:c r="I28" s="50" t="n">
        <x:v>1.76</x:v>
      </x:c>
      <x:c r="J28" s="28" t="str">
        <x:v>Model-calibrated latent category anchor constrained to Peru overall=5.88; NOT an EIU-published Peru sub-pillar value.</x:v>
      </x:c>
      <x:c r="K28" s="28" t="str">
        <x:v>EIU Democracy Index 2025, Figure 14, p. 24.</x:v>
      </x:c>
      <x:c r="L28" s="28" t="str">
        <x:v>EIU Democracy Index 2025, Figure 14, p. 24.</x:v>
      </x:c>
      <x:c r="M28" s="28" t="str">
        <x:v>modeled_latent_anchor</x:v>
      </x:c>
      <x:c r="N28" s="28" t="str">
        <x:v>observed_EIU</x:v>
      </x:c>
      <x:c r="O28" s="28" t="str">
        <x:v>observed_EIU</x:v>
      </x:c>
    </x:row>
    <x:row r="29">
      <x:c r="A29" s="28" t="n">
        <x:v>2025</x:v>
      </x:c>
      <x:c r="B29" s="28" t="str">
        <x:v>Funcionamiento del gobierno</x:v>
      </x:c>
      <x:c r="C29" s="28" t="str">
        <x:v>Functioning of government</x:v>
      </x:c>
      <x:c r="D29" s="50" t="n">
        <x:v>6.03</x:v>
      </x:c>
      <x:c r="E29" s="50" t="n">
        <x:v>5.13</x:v>
      </x:c>
      <x:c r="F29" s="50" t="n">
        <x:v>4.6</x:v>
      </x:c>
      <x:c r="G29" s="50" t="n">
        <x:v>0.9</x:v>
      </x:c>
      <x:c r="H29" s="50" t="n">
        <x:v>1.43</x:v>
      </x:c>
      <x:c r="I29" s="50" t="n">
        <x:v>0.53</x:v>
      </x:c>
      <x:c r="J29" s="28" t="str">
        <x:v>Model-calibrated latent category anchor constrained to Peru overall=5.88; NOT an EIU-published Peru sub-pillar value.</x:v>
      </x:c>
      <x:c r="K29" s="28" t="str">
        <x:v>EIU Democracy Index 2025, Figure 14, p. 24.</x:v>
      </x:c>
      <x:c r="L29" s="28" t="str">
        <x:v>EIU Democracy Index 2025, Figure 14, p. 24.</x:v>
      </x:c>
      <x:c r="M29" s="28" t="str">
        <x:v>modeled_latent_anchor</x:v>
      </x:c>
      <x:c r="N29" s="28" t="str">
        <x:v>observed_EIU</x:v>
      </x:c>
      <x:c r="O29" s="28" t="str">
        <x:v>observed_EIU</x:v>
      </x:c>
    </x:row>
    <x:row r="30">
      <x:c r="A30" s="28" t="n">
        <x:v>2025</x:v>
      </x:c>
      <x:c r="B30" s="28" t="str">
        <x:v>Cultura política</x:v>
      </x:c>
      <x:c r="C30" s="28" t="str">
        <x:v>Political culture</x:v>
      </x:c>
      <x:c r="D30" s="50" t="n">
        <x:v>3</x:v>
      </x:c>
      <x:c r="E30" s="50" t="n">
        <x:v>4.3</x:v>
      </x:c>
      <x:c r="F30" s="50" t="n">
        <x:v>5.32</x:v>
      </x:c>
      <x:c r="G30" s="50" t="n">
        <x:v>-1.3</x:v>
      </x:c>
      <x:c r="H30" s="50" t="n">
        <x:v>-2.32</x:v>
      </x:c>
      <x:c r="I30" s="50" t="n">
        <x:v>-1.02</x:v>
      </x:c>
      <x:c r="J30" s="28" t="str">
        <x:v>Model-calibrated latent category anchor constrained to Peru overall=5.88; NOT an EIU-published Peru sub-pillar value.</x:v>
      </x:c>
      <x:c r="K30" s="28" t="str">
        <x:v>EIU Democracy Index 2025, Figure 14, p. 24.</x:v>
      </x:c>
      <x:c r="L30" s="28" t="str">
        <x:v>EIU Democracy Index 2025, Figure 14, p. 24.</x:v>
      </x:c>
      <x:c r="M30" s="28" t="str">
        <x:v>modeled_latent_anchor</x:v>
      </x:c>
      <x:c r="N30" s="28" t="str">
        <x:v>observed_EIU</x:v>
      </x:c>
      <x:c r="O30" s="28" t="str">
        <x:v>observed_EIU</x:v>
      </x:c>
    </x:row>
    <x:row r="31">
      <x:c r="A31" s="28" t="n">
        <x:v>2025</x:v>
      </x:c>
      <x:c r="B31" s="28" t="str">
        <x:v>Participación política</x:v>
      </x:c>
      <x:c r="C31" s="28" t="str">
        <x:v>Political participation</x:v>
      </x:c>
      <x:c r="D31" s="50" t="n">
        <x:v>5.07</x:v>
      </x:c>
      <x:c r="E31" s="50" t="n">
        <x:v>5.69</x:v>
      </x:c>
      <x:c r="F31" s="50" t="n">
        <x:v>5.33</x:v>
      </x:c>
      <x:c r="G31" s="50" t="n">
        <x:v>-0.62</x:v>
      </x:c>
      <x:c r="H31" s="50" t="n">
        <x:v>-0.26</x:v>
      </x:c>
      <x:c r="I31" s="50" t="n">
        <x:v>0.36</x:v>
      </x:c>
      <x:c r="J31" s="28" t="str">
        <x:v>Model-calibrated latent category anchor constrained to Peru overall=5.88; NOT an EIU-published Peru sub-pillar value.</x:v>
      </x:c>
      <x:c r="K31" s="28" t="str">
        <x:v>EIU Democracy Index 2025, Figure 14, p. 24.</x:v>
      </x:c>
      <x:c r="L31" s="28" t="str">
        <x:v>EIU Democracy Index 2025, Figure 14, p. 24.</x:v>
      </x:c>
      <x:c r="M31" s="28" t="str">
        <x:v>modeled_latent_anchor</x:v>
      </x:c>
      <x:c r="N31" s="28" t="str">
        <x:v>observed_EIU</x:v>
      </x:c>
      <x:c r="O31" s="28" t="str">
        <x:v>observed_EIU</x:v>
      </x:c>
    </x:row>
  </x:sheetData>
  <x:pageMargins left="0.7" right="0.7" top="0.75" bottom="0.75" header="0.3" footer="0.3"/>
  <x:drawing xmlns:r="http://schemas.openxmlformats.org/officeDocument/2006/relationships" r:id="R49d6d95746464e51"/>
</x:worksheet>
</file>

<file path=xl/worksheets/sheet4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34" hidden="0" customWidth="1"/>
    <x:col min="3" max="3" width="3.880000114440918" hidden="0" customWidth="1"/>
    <x:col min="4" max="4" width="23.3799991607666" hidden="0" customWidth="1"/>
    <x:col min="5" max="5" width="22.8799991607666" hidden="0" customWidth="1"/>
    <x:col min="6" max="6" width="16.3799991607666" hidden="0" customWidth="1"/>
    <x:col min="7" max="7" width="12.130000114440918" hidden="0" customWidth="1"/>
    <x:col min="8" max="8" width="13.5" hidden="0" customWidth="1"/>
    <x:col min="9" max="9" width="10.630000114440918" hidden="0" customWidth="1"/>
    <x:col min="10" max="10" width="28" hidden="0" customWidth="1"/>
    <x:col min="11" max="11" width="18" hidden="0" customWidth="1"/>
  </x:cols>
  <x:sheetData>
    <x:row r="1">
      <x:c r="A1" s="12" t="str">
        <x:v>scenario_id</x:v>
      </x:c>
      <x:c r="B1" s="12" t="str">
        <x:v>scenario_name</x:v>
      </x:c>
      <x:c r="C1" s="12" t="str">
        <x:v>year</x:v>
      </x:c>
      <x:c r="D1" s="12" t="str">
        <x:v>Proceso electoral y pluralismo</x:v>
      </x:c>
      <x:c r="E1" s="12" t="str">
        <x:v>Funcionamiento del gobierno</x:v>
      </x:c>
      <x:c r="F1" s="12" t="str">
        <x:v>Participación política</x:v>
      </x:c>
      <x:c r="G1" s="12" t="str">
        <x:v>Cultura política</x:v>
      </x:c>
      <x:c r="H1" s="12" t="str">
        <x:v>Libertades civiles</x:v>
      </x:c>
      <x:c r="I1" s="12" t="str">
        <x:v>overall_score</x:v>
      </x:c>
      <x:c r="J1" s="12" t="str">
        <x:v>phase</x:v>
      </x:c>
      <x:c r="K1" s="12" t="str">
        <x:v>regime_type</x:v>
      </x:c>
    </x:row>
    <x:row r="2">
      <x:c r="A2" s="28" t="str">
        <x:v>recuperacion_institucional</x:v>
      </x:c>
      <x:c r="B2" s="28" t="str">
        <x:v>Recuperación institucional y gobernabilidad negociada</x:v>
      </x:c>
      <x:c r="C2" s="28" t="n">
        <x:v>2025</x:v>
      </x:c>
      <x:c r="D2" s="30" t="n">
        <x:v>8.88</x:v>
      </x:c>
      <x:c r="E2" s="30" t="n">
        <x:v>6.03</x:v>
      </x:c>
      <x:c r="F2" s="30" t="n">
        <x:v>5.07</x:v>
      </x:c>
      <x:c r="G2" s="30" t="n">
        <x:v>3</x:v>
      </x:c>
      <x:c r="H2" s="30" t="n">
        <x:v>6.42</x:v>
      </x:c>
      <x:c r="I2" s="30" t="n">
        <x:v>5.88</x:v>
      </x:c>
      <x:c r="J2" s="28" t="str">
        <x:v>anchor_observed_overall_modeled_categories</x:v>
      </x:c>
      <x:c r="K2" s="28" t="str">
        <x:v>Hybrid regime</x:v>
      </x:c>
    </x:row>
    <x:row r="3">
      <x:c r="A3" s="28" t="str">
        <x:v>recuperacion_institucional</x:v>
      </x:c>
      <x:c r="B3" s="28" t="str">
        <x:v>Recuperación institucional y gobernabilidad negociada</x:v>
      </x:c>
      <x:c r="C3" s="28" t="n">
        <x:v>2026</x:v>
      </x:c>
      <x:c r="D3" s="30" t="n">
        <x:v>9</x:v>
      </x:c>
      <x:c r="E3" s="30" t="n">
        <x:v>6.15</x:v>
      </x:c>
      <x:c r="F3" s="30" t="n">
        <x:v>5.15</x:v>
      </x:c>
      <x:c r="G3" s="30" t="n">
        <x:v>3.15</x:v>
      </x:c>
      <x:c r="H3" s="30" t="n">
        <x:v>6.47</x:v>
      </x:c>
      <x:c r="I3" s="30" t="n">
        <x:v>5.984</x:v>
      </x:c>
      <x:c r="J3" s="28" t="str">
        <x:v>post_election_shock</x:v>
      </x:c>
      <x:c r="K3" s="28" t="str">
        <x:v>Hybrid regime</x:v>
      </x:c>
    </x:row>
    <x:row r="4">
      <x:c r="A4" s="28" t="str">
        <x:v>recuperacion_institucional</x:v>
      </x:c>
      <x:c r="B4" s="28" t="str">
        <x:v>Recuperación institucional y gobernabilidad negociada</x:v>
      </x:c>
      <x:c r="C4" s="28" t="n">
        <x:v>2027</x:v>
      </x:c>
      <x:c r="D4" s="30" t="n">
        <x:v>9.04</x:v>
      </x:c>
      <x:c r="E4" s="30" t="n">
        <x:v>6.25</x:v>
      </x:c>
      <x:c r="F4" s="30" t="n">
        <x:v>5.21</x:v>
      </x:c>
      <x:c r="G4" s="30" t="n">
        <x:v>3.25</x:v>
      </x:c>
      <x:c r="H4" s="30" t="n">
        <x:v>6.52</x:v>
      </x:c>
      <x:c r="I4" s="30" t="n">
        <x:v>6.054</x:v>
      </x:c>
      <x:c r="J4" s="28" t="str">
        <x:v>structural_projection</x:v>
      </x:c>
      <x:c r="K4" s="28" t="str">
        <x:v>Flawed democracy</x:v>
      </x:c>
    </x:row>
    <x:row r="5">
      <x:c r="A5" s="28" t="str">
        <x:v>recuperacion_institucional</x:v>
      </x:c>
      <x:c r="B5" s="28" t="str">
        <x:v>Recuperación institucional y gobernabilidad negociada</x:v>
      </x:c>
      <x:c r="C5" s="28" t="n">
        <x:v>2028</x:v>
      </x:c>
      <x:c r="D5" s="30" t="n">
        <x:v>9.076</x:v>
      </x:c>
      <x:c r="E5" s="30" t="n">
        <x:v>6.34</x:v>
      </x:c>
      <x:c r="F5" s="30" t="n">
        <x:v>5.264</x:v>
      </x:c>
      <x:c r="G5" s="30" t="n">
        <x:v>3.34</x:v>
      </x:c>
      <x:c r="H5" s="30" t="n">
        <x:v>6.565</x:v>
      </x:c>
      <x:c r="I5" s="30" t="n">
        <x:v>6.117</x:v>
      </x:c>
      <x:c r="J5" s="28" t="str">
        <x:v>structural_projection</x:v>
      </x:c>
      <x:c r="K5" s="28" t="str">
        <x:v>Flawed democracy</x:v>
      </x:c>
    </x:row>
    <x:row r="6">
      <x:c r="A6" s="28" t="str">
        <x:v>recuperacion_institucional</x:v>
      </x:c>
      <x:c r="B6" s="28" t="str">
        <x:v>Recuperación institucional y gobernabilidad negociada</x:v>
      </x:c>
      <x:c r="C6" s="28" t="n">
        <x:v>2029</x:v>
      </x:c>
      <x:c r="D6" s="30" t="n">
        <x:v>9.108</x:v>
      </x:c>
      <x:c r="E6" s="30" t="n">
        <x:v>6.42</x:v>
      </x:c>
      <x:c r="F6" s="30" t="n">
        <x:v>5.312</x:v>
      </x:c>
      <x:c r="G6" s="30" t="n">
        <x:v>3.42</x:v>
      </x:c>
      <x:c r="H6" s="30" t="n">
        <x:v>6.605</x:v>
      </x:c>
      <x:c r="I6" s="30" t="n">
        <x:v>6.173</x:v>
      </x:c>
      <x:c r="J6" s="28" t="str">
        <x:v>structural_projection</x:v>
      </x:c>
      <x:c r="K6" s="28" t="str">
        <x:v>Flawed democracy</x:v>
      </x:c>
    </x:row>
    <x:row r="7">
      <x:c r="A7" s="28" t="str">
        <x:v>recuperacion_institucional</x:v>
      </x:c>
      <x:c r="B7" s="28" t="str">
        <x:v>Recuperación institucional y gobernabilidad negociada</x:v>
      </x:c>
      <x:c r="C7" s="28" t="n">
        <x:v>2030</x:v>
      </x:c>
      <x:c r="D7" s="30" t="n">
        <x:v>9.136</x:v>
      </x:c>
      <x:c r="E7" s="30" t="n">
        <x:v>6.49</x:v>
      </x:c>
      <x:c r="F7" s="30" t="n">
        <x:v>5.354</x:v>
      </x:c>
      <x:c r="G7" s="30" t="n">
        <x:v>3.49</x:v>
      </x:c>
      <x:c r="H7" s="30" t="n">
        <x:v>6.64</x:v>
      </x:c>
      <x:c r="I7" s="30" t="n">
        <x:v>6.222</x:v>
      </x:c>
      <x:c r="J7" s="28" t="str">
        <x:v>structural_projection</x:v>
      </x:c>
      <x:c r="K7" s="28" t="str">
        <x:v>Flawed democracy</x:v>
      </x:c>
    </x:row>
    <x:row r="8">
      <x:c r="A8" s="28" t="str">
        <x:v>continuidad_hibrida</x:v>
      </x:c>
      <x:c r="B8" s="28" t="str">
        <x:v>Continuidad híbrida y estabilización competitiva</x:v>
      </x:c>
      <x:c r="C8" s="28" t="n">
        <x:v>2025</x:v>
      </x:c>
      <x:c r="D8" s="30" t="n">
        <x:v>8.88</x:v>
      </x:c>
      <x:c r="E8" s="30" t="n">
        <x:v>6.03</x:v>
      </x:c>
      <x:c r="F8" s="30" t="n">
        <x:v>5.07</x:v>
      </x:c>
      <x:c r="G8" s="30" t="n">
        <x:v>3</x:v>
      </x:c>
      <x:c r="H8" s="30" t="n">
        <x:v>6.42</x:v>
      </x:c>
      <x:c r="I8" s="30" t="n">
        <x:v>5.88</x:v>
      </x:c>
      <x:c r="J8" s="28" t="str">
        <x:v>anchor_observed_overall_modeled_categories</x:v>
      </x:c>
      <x:c r="K8" s="28" t="str">
        <x:v>Hybrid regime</x:v>
      </x:c>
    </x:row>
    <x:row r="9">
      <x:c r="A9" s="28" t="str">
        <x:v>continuidad_hibrida</x:v>
      </x:c>
      <x:c r="B9" s="28" t="str">
        <x:v>Continuidad híbrida y estabilización competitiva</x:v>
      </x:c>
      <x:c r="C9" s="28" t="n">
        <x:v>2026</x:v>
      </x:c>
      <x:c r="D9" s="30" t="n">
        <x:v>8.96</x:v>
      </x:c>
      <x:c r="E9" s="30" t="n">
        <x:v>5.97</x:v>
      </x:c>
      <x:c r="F9" s="30" t="n">
        <x:v>5.13</x:v>
      </x:c>
      <x:c r="G9" s="30" t="n">
        <x:v>2.9</x:v>
      </x:c>
      <x:c r="H9" s="30" t="n">
        <x:v>6.34</x:v>
      </x:c>
      <x:c r="I9" s="30" t="n">
        <x:v>5.86</x:v>
      </x:c>
      <x:c r="J9" s="28" t="str">
        <x:v>post_election_shock</x:v>
      </x:c>
      <x:c r="K9" s="28" t="str">
        <x:v>Hybrid regime</x:v>
      </x:c>
    </x:row>
    <x:row r="10">
      <x:c r="A10" s="28" t="str">
        <x:v>continuidad_hibrida</x:v>
      </x:c>
      <x:c r="B10" s="28" t="str">
        <x:v>Continuidad híbrida y estabilización competitiva</x:v>
      </x:c>
      <x:c r="C10" s="28" t="n">
        <x:v>2027</x:v>
      </x:c>
      <x:c r="D10" s="30" t="n">
        <x:v>8.96</x:v>
      </x:c>
      <x:c r="E10" s="30" t="n">
        <x:v>5.98</x:v>
      </x:c>
      <x:c r="F10" s="30" t="n">
        <x:v>5.15</x:v>
      </x:c>
      <x:c r="G10" s="30" t="n">
        <x:v>2.9</x:v>
      </x:c>
      <x:c r="H10" s="30" t="n">
        <x:v>6.33</x:v>
      </x:c>
      <x:c r="I10" s="30" t="n">
        <x:v>5.864</x:v>
      </x:c>
      <x:c r="J10" s="28" t="str">
        <x:v>structural_projection</x:v>
      </x:c>
      <x:c r="K10" s="28" t="str">
        <x:v>Hybrid regime</x:v>
      </x:c>
    </x:row>
    <x:row r="11">
      <x:c r="A11" s="28" t="str">
        <x:v>continuidad_hibrida</x:v>
      </x:c>
      <x:c r="B11" s="28" t="str">
        <x:v>Continuidad híbrida y estabilización competitiva</x:v>
      </x:c>
      <x:c r="C11" s="28" t="n">
        <x:v>2028</x:v>
      </x:c>
      <x:c r="D11" s="30" t="n">
        <x:v>8.96</x:v>
      </x:c>
      <x:c r="E11" s="30" t="n">
        <x:v>5.989</x:v>
      </x:c>
      <x:c r="F11" s="30" t="n">
        <x:v>5.168</x:v>
      </x:c>
      <x:c r="G11" s="30" t="n">
        <x:v>2.9</x:v>
      </x:c>
      <x:c r="H11" s="30" t="n">
        <x:v>6.321</x:v>
      </x:c>
      <x:c r="I11" s="30" t="n">
        <x:v>5.868</x:v>
      </x:c>
      <x:c r="J11" s="28" t="str">
        <x:v>structural_projection</x:v>
      </x:c>
      <x:c r="K11" s="28" t="str">
        <x:v>Hybrid regime</x:v>
      </x:c>
    </x:row>
    <x:row r="12">
      <x:c r="A12" s="28" t="str">
        <x:v>continuidad_hibrida</x:v>
      </x:c>
      <x:c r="B12" s="28" t="str">
        <x:v>Continuidad híbrida y estabilización competitiva</x:v>
      </x:c>
      <x:c r="C12" s="28" t="n">
        <x:v>2029</x:v>
      </x:c>
      <x:c r="D12" s="30" t="n">
        <x:v>8.96</x:v>
      </x:c>
      <x:c r="E12" s="30" t="n">
        <x:v>5.997</x:v>
      </x:c>
      <x:c r="F12" s="30" t="n">
        <x:v>5.184</x:v>
      </x:c>
      <x:c r="G12" s="30" t="n">
        <x:v>2.9</x:v>
      </x:c>
      <x:c r="H12" s="30" t="n">
        <x:v>6.313</x:v>
      </x:c>
      <x:c r="I12" s="30" t="n">
        <x:v>5.871</x:v>
      </x:c>
      <x:c r="J12" s="28" t="str">
        <x:v>structural_projection</x:v>
      </x:c>
      <x:c r="K12" s="28" t="str">
        <x:v>Hybrid regime</x:v>
      </x:c>
    </x:row>
    <x:row r="13">
      <x:c r="A13" s="28" t="str">
        <x:v>continuidad_hibrida</x:v>
      </x:c>
      <x:c r="B13" s="28" t="str">
        <x:v>Continuidad híbrida y estabilización competitiva</x:v>
      </x:c>
      <x:c r="C13" s="28" t="n">
        <x:v>2030</x:v>
      </x:c>
      <x:c r="D13" s="30" t="n">
        <x:v>8.96</x:v>
      </x:c>
      <x:c r="E13" s="30" t="n">
        <x:v>6.004</x:v>
      </x:c>
      <x:c r="F13" s="30" t="n">
        <x:v>5.198</x:v>
      </x:c>
      <x:c r="G13" s="30" t="n">
        <x:v>2.9</x:v>
      </x:c>
      <x:c r="H13" s="30" t="n">
        <x:v>6.306</x:v>
      </x:c>
      <x:c r="I13" s="30" t="n">
        <x:v>5.874</x:v>
      </x:c>
      <x:c r="J13" s="28" t="str">
        <x:v>structural_projection</x:v>
      </x:c>
      <x:c r="K13" s="28" t="str">
        <x:v>Hybrid regime</x:v>
      </x:c>
    </x:row>
    <x:row r="14">
      <x:c r="A14" s="28" t="str">
        <x:v>deriva_restrictiva</x:v>
      </x:c>
      <x:c r="B14" s="28" t="str">
        <x:v>Deriva restrictiva y securitización</x:v>
      </x:c>
      <x:c r="C14" s="28" t="n">
        <x:v>2025</x:v>
      </x:c>
      <x:c r="D14" s="30" t="n">
        <x:v>8.88</x:v>
      </x:c>
      <x:c r="E14" s="30" t="n">
        <x:v>6.03</x:v>
      </x:c>
      <x:c r="F14" s="30" t="n">
        <x:v>5.07</x:v>
      </x:c>
      <x:c r="G14" s="30" t="n">
        <x:v>3</x:v>
      </x:c>
      <x:c r="H14" s="30" t="n">
        <x:v>6.42</x:v>
      </x:c>
      <x:c r="I14" s="30" t="n">
        <x:v>5.88</x:v>
      </x:c>
      <x:c r="J14" s="28" t="str">
        <x:v>anchor_observed_overall_modeled_categories</x:v>
      </x:c>
      <x:c r="K14" s="28" t="str">
        <x:v>Hybrid regime</x:v>
      </x:c>
    </x:row>
    <x:row r="15">
      <x:c r="A15" s="28" t="str">
        <x:v>deriva_restrictiva</x:v>
      </x:c>
      <x:c r="B15" s="28" t="str">
        <x:v>Deriva restrictiva y securitización</x:v>
      </x:c>
      <x:c r="C15" s="28" t="n">
        <x:v>2026</x:v>
      </x:c>
      <x:c r="D15" s="30" t="n">
        <x:v>8.8</x:v>
      </x:c>
      <x:c r="E15" s="30" t="n">
        <x:v>5.83</x:v>
      </x:c>
      <x:c r="F15" s="30" t="n">
        <x:v>5.02</x:v>
      </x:c>
      <x:c r="G15" s="30" t="n">
        <x:v>2.75</x:v>
      </x:c>
      <x:c r="H15" s="30" t="n">
        <x:v>6.14</x:v>
      </x:c>
      <x:c r="I15" s="30" t="n">
        <x:v>5.708</x:v>
      </x:c>
      <x:c r="J15" s="28" t="str">
        <x:v>post_election_shock</x:v>
      </x:c>
      <x:c r="K15" s="28" t="str">
        <x:v>Hybrid regime</x:v>
      </x:c>
    </x:row>
    <x:row r="16">
      <x:c r="A16" s="28" t="str">
        <x:v>deriva_restrictiva</x:v>
      </x:c>
      <x:c r="B16" s="28" t="str">
        <x:v>Deriva restrictiva y securitización</x:v>
      </x:c>
      <x:c r="C16" s="28" t="n">
        <x:v>2027</x:v>
      </x:c>
      <x:c r="D16" s="30" t="n">
        <x:v>8.76</x:v>
      </x:c>
      <x:c r="E16" s="30" t="n">
        <x:v>5.7</x:v>
      </x:c>
      <x:c r="F16" s="30" t="n">
        <x:v>4.95</x:v>
      </x:c>
      <x:c r="G16" s="30" t="n">
        <x:v>2.62</x:v>
      </x:c>
      <x:c r="H16" s="30" t="n">
        <x:v>5.98</x:v>
      </x:c>
      <x:c r="I16" s="30" t="n">
        <x:v>5.602</x:v>
      </x:c>
      <x:c r="J16" s="28" t="str">
        <x:v>structural_projection</x:v>
      </x:c>
      <x:c r="K16" s="28" t="str">
        <x:v>Hybrid regime</x:v>
      </x:c>
    </x:row>
    <x:row r="17">
      <x:c r="A17" s="28" t="str">
        <x:v>deriva_restrictiva</x:v>
      </x:c>
      <x:c r="B17" s="28" t="str">
        <x:v>Deriva restrictiva y securitización</x:v>
      </x:c>
      <x:c r="C17" s="28" t="n">
        <x:v>2028</x:v>
      </x:c>
      <x:c r="D17" s="30" t="n">
        <x:v>8.724</x:v>
      </x:c>
      <x:c r="E17" s="30" t="n">
        <x:v>5.583</x:v>
      </x:c>
      <x:c r="F17" s="30" t="n">
        <x:v>4.887</x:v>
      </x:c>
      <x:c r="G17" s="30" t="n">
        <x:v>2.503</x:v>
      </x:c>
      <x:c r="H17" s="30" t="n">
        <x:v>5.836</x:v>
      </x:c>
      <x:c r="I17" s="30" t="n">
        <x:v>5.507</x:v>
      </x:c>
      <x:c r="J17" s="28" t="str">
        <x:v>structural_projection</x:v>
      </x:c>
      <x:c r="K17" s="28" t="str">
        <x:v>Hybrid regime</x:v>
      </x:c>
    </x:row>
    <x:row r="18">
      <x:c r="A18" s="28" t="str">
        <x:v>deriva_restrictiva</x:v>
      </x:c>
      <x:c r="B18" s="28" t="str">
        <x:v>Deriva restrictiva y securitización</x:v>
      </x:c>
      <x:c r="C18" s="28" t="n">
        <x:v>2029</x:v>
      </x:c>
      <x:c r="D18" s="30" t="n">
        <x:v>8.692</x:v>
      </x:c>
      <x:c r="E18" s="30" t="n">
        <x:v>5.479</x:v>
      </x:c>
      <x:c r="F18" s="30" t="n">
        <x:v>4.831</x:v>
      </x:c>
      <x:c r="G18" s="30" t="n">
        <x:v>2.399</x:v>
      </x:c>
      <x:c r="H18" s="30" t="n">
        <x:v>5.708</x:v>
      </x:c>
      <x:c r="I18" s="30" t="n">
        <x:v>5.422</x:v>
      </x:c>
      <x:c r="J18" s="28" t="str">
        <x:v>structural_projection</x:v>
      </x:c>
      <x:c r="K18" s="28" t="str">
        <x:v>Hybrid regime</x:v>
      </x:c>
    </x:row>
    <x:row r="19">
      <x:c r="A19" s="28" t="str">
        <x:v>deriva_restrictiva</x:v>
      </x:c>
      <x:c r="B19" s="28" t="str">
        <x:v>Deriva restrictiva y securitización</x:v>
      </x:c>
      <x:c r="C19" s="28" t="n">
        <x:v>2030</x:v>
      </x:c>
      <x:c r="D19" s="30" t="n">
        <x:v>8.664</x:v>
      </x:c>
      <x:c r="E19" s="30" t="n">
        <x:v>5.388</x:v>
      </x:c>
      <x:c r="F19" s="30" t="n">
        <x:v>4.782</x:v>
      </x:c>
      <x:c r="G19" s="30" t="n">
        <x:v>2.308</x:v>
      </x:c>
      <x:c r="H19" s="30" t="n">
        <x:v>5.596</x:v>
      </x:c>
      <x:c r="I19" s="30" t="n">
        <x:v>5.348</x:v>
      </x:c>
      <x:c r="J19" s="28" t="str">
        <x:v>structural_projection</x:v>
      </x:c>
      <x:c r="K19" s="28" t="str">
        <x:v>Hybrid regime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38" hidden="0" customWidth="1"/>
    <x:col min="4" max="4" width="38" hidden="0" customWidth="1"/>
    <x:col min="8" max="8" width="38" hidden="0" customWidth="1"/>
    <x:col min="9" max="9" width="38" hidden="0" customWidth="1"/>
  </x:cols>
  <x:sheetData>
    <x:row r="1">
      <x:c r="A1" s="12" t="str">
        <x:v>scenario_id</x:v>
      </x:c>
      <x:c r="B1" s="12" t="str">
        <x:v>scenario_name</x:v>
      </x:c>
      <x:c r="C1" s="12" t="str">
        <x:v>scenario_type</x:v>
      </x:c>
      <x:c r="D1" s="12" t="str">
        <x:v>description</x:v>
      </x:c>
      <x:c r="E1" s="12" t="str">
        <x:v>score_2026</x:v>
      </x:c>
      <x:c r="F1" s="12" t="str">
        <x:v>score_2030</x:v>
      </x:c>
      <x:c r="G1" s="12" t="str">
        <x:v>regime_2030</x:v>
      </x:c>
      <x:c r="H1" s="12" t="str">
        <x:v>triggers</x:v>
      </x:c>
      <x:c r="I1" s="12" t="str">
        <x:v>warnings</x:v>
      </x:c>
    </x:row>
    <x:row r="2">
      <x:c r="A2" s="28" t="str">
        <x:v>recuperacion_institucional</x:v>
      </x:c>
      <x:c r="B2" s="28" t="str">
        <x:v>Recuperación institucional y gobernabilidad negociada</x:v>
      </x:c>
      <x:c r="C2" s="28" t="str">
        <x:v>favorable</x:v>
      </x:c>
      <x:c r="D2" s="28" t="str">
        <x:v>La legitimidad electoral se consolida, se implementan recomendaciones de observación electoral, el Ejecutivo negocia con el Congreso bicameral y la política de seguridad mantiene controles judiciales y de derechos.</x:v>
      </x:c>
      <x:c r="E2" s="30" t="n">
        <x:v>5.984</x:v>
      </x:c>
      <x:c r="F2" s="30" t="n">
        <x:v>6.222</x:v>
      </x:c>
      <x:c r="G2" s="28" t="str">
        <x:v>Flawed democracy</x:v>
      </x:c>
      <x:c r="H2" s="28" t="str">
        <x:v>Implementación verificable de recomendaciones UE/OEA; coaliciones legislativas estables; mejora de capacidad estatal; seguridad con control judicial; reducción de polarización.</x:v>
      </x:c>
      <x:c r="I2" s="28" t="str">
        <x:v>Requiere continuidad de reformas; no presupone eliminación de fragmentación ni mejora automática de cultura política.</x:v>
      </x:c>
    </x:row>
    <x:row r="3">
      <x:c r="A3" s="28" t="str">
        <x:v>continuidad_hibrida</x:v>
      </x:c>
      <x:c r="B3" s="28" t="str">
        <x:v>Continuidad híbrida y estabilización competitiva</x:v>
      </x:c>
      <x:c r="C3" s="28" t="str">
        <x:v>baseline</x:v>
      </x:c>
      <x:c r="D3" s="28" t="str">
        <x:v>El resultado electoral se institucionaliza, pero persisten fragmentación, baja confianza y tensiones Ejecutivo-Congreso. Hay continuidad procedimental sin reforma estructural suficiente.</x:v>
      </x:c>
      <x:c r="E3" s="30" t="n">
        <x:v>5.86</x:v>
      </x:c>
      <x:c r="F3" s="30" t="n">
        <x:v>5.874</x:v>
      </x:c>
      <x:c r="G3" s="28" t="str">
        <x:v>Hybrid regime</x:v>
      </x:c>
      <x:c r="H3" s="28" t="str">
        <x:v>Aceptación formal del resultado; competencia electoral preservada; reformas parciales; ciclos de conflicto político sin ruptura institucional.</x:v>
      </x:c>
      <x:c r="I3" s="28" t="str">
        <x:v>El puntaje permanece bajo el umbral de democracia defectuosa; cultura política sigue siendo cuello de botella.</x:v>
      </x:c>
    </x:row>
    <x:row r="4">
      <x:c r="A4" s="28" t="str">
        <x:v>deriva_restrictiva</x:v>
      </x:c>
      <x:c r="B4" s="28" t="str">
        <x:v>Deriva restrictiva y securitización</x:v>
      </x:c>
      <x:c r="C4" s="28" t="str">
        <x:v>adverse</x:v>
      </x:c>
      <x:c r="D4" s="28" t="str">
        <x:v>La respuesta a inseguridad y conflicto político amplía excepcionalidad, erosiona controles y libertades, y la polarización dificulta la rendición de cuentas aunque se preserven elecciones competitivas.</x:v>
      </x:c>
      <x:c r="E4" s="30" t="n">
        <x:v>5.708</x:v>
      </x:c>
      <x:c r="F4" s="30" t="n">
        <x:v>5.348</x:v>
      </x:c>
      <x:c r="G4" s="28" t="str">
        <x:v>Hybrid regime</x:v>
      </x:c>
      <x:c r="H4" s="28" t="str">
        <x:v>Endurecimiento securitario sin salvaguardas; captura o debilitamiento de contrapesos; conflicto sostenido con oposición; restricciones a protesta/expresión; crisis de confianza electoral.</x:v>
      </x:c>
      <x:c r="I4" s="28" t="str">
        <x:v>No implica autoritarismo pleno: modela un híbrido más restrictivo con deterioro concentrado en gobierno, cultura y libertades.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7" max="7" width="48" hidden="0" customWidth="1"/>
  </x:cols>
  <x:sheetData>
    <x:row r="1">
      <x:c r="A1" s="12" t="str">
        <x:v>scenario_id</x:v>
      </x:c>
      <x:c r="B1" s="12" t="str">
        <x:v>year</x:v>
      </x:c>
      <x:c r="C1" s="12" t="str">
        <x:v>p10</x:v>
      </x:c>
      <x:c r="D1" s="12" t="str">
        <x:v>p50</x:v>
      </x:c>
      <x:c r="E1" s="12" t="str">
        <x:v>p90</x:v>
      </x:c>
      <x:c r="F1" s="12" t="str">
        <x:v>n_sim</x:v>
      </x:c>
      <x:c r="G1" s="12" t="str">
        <x:v>note</x:v>
      </x:c>
    </x:row>
    <x:row r="2">
      <x:c r="A2" s="28" t="str">
        <x:v>recuperacion_institucional</x:v>
      </x:c>
      <x:c r="B2" s="28" t="n">
        <x:v>2025</x:v>
      </x:c>
      <x:c r="C2" s="30" t="n">
        <x:v>5.88</x:v>
      </x:c>
      <x:c r="D2" s="30" t="n">
        <x:v>5.88</x:v>
      </x:c>
      <x:c r="E2" s="30" t="n">
        <x:v>5.88</x:v>
      </x:c>
      <x:c r="F2" s="28" t="n">
        <x:v>10000</x:v>
      </x:c>
      <x:c r="G2" s="28" t="str">
        <x:v>Sensitivity envelope from 10,000 Monte Carlo paths using 25% of historical annual category volatility (floored/capped); not a statistical confidence interval.</x:v>
      </x:c>
    </x:row>
    <x:row r="3">
      <x:c r="A3" s="28" t="str">
        <x:v>recuperacion_institucional</x:v>
      </x:c>
      <x:c r="B3" s="28" t="n">
        <x:v>2026</x:v>
      </x:c>
      <x:c r="C3" s="30" t="n">
        <x:v>5.937</x:v>
      </x:c>
      <x:c r="D3" s="30" t="n">
        <x:v>5.985</x:v>
      </x:c>
      <x:c r="E3" s="30" t="n">
        <x:v>6.032</x:v>
      </x:c>
      <x:c r="F3" s="28" t="n">
        <x:v>10000</x:v>
      </x:c>
      <x:c r="G3" s="28" t="str">
        <x:v>Sensitivity envelope from 10,000 Monte Carlo paths using 25% of historical annual category volatility (floored/capped); not a statistical confidence interval.</x:v>
      </x:c>
    </x:row>
    <x:row r="4">
      <x:c r="A4" s="28" t="str">
        <x:v>recuperacion_institucional</x:v>
      </x:c>
      <x:c r="B4" s="28" t="n">
        <x:v>2027</x:v>
      </x:c>
      <x:c r="C4" s="30" t="n">
        <x:v>5.993</x:v>
      </x:c>
      <x:c r="D4" s="30" t="n">
        <x:v>6.055</x:v>
      </x:c>
      <x:c r="E4" s="30" t="n">
        <x:v>6.116</x:v>
      </x:c>
      <x:c r="F4" s="28" t="n">
        <x:v>10000</x:v>
      </x:c>
      <x:c r="G4" s="28" t="str">
        <x:v>Sensitivity envelope from 10,000 Monte Carlo paths using 25% of historical annual category volatility (floored/capped); not a statistical confidence interval.</x:v>
      </x:c>
    </x:row>
    <x:row r="5">
      <x:c r="A5" s="28" t="str">
        <x:v>recuperacion_institucional</x:v>
      </x:c>
      <x:c r="B5" s="28" t="n">
        <x:v>2028</x:v>
      </x:c>
      <x:c r="C5" s="30" t="n">
        <x:v>6.043</x:v>
      </x:c>
      <x:c r="D5" s="30" t="n">
        <x:v>6.118</x:v>
      </x:c>
      <x:c r="E5" s="30" t="n">
        <x:v>6.19</x:v>
      </x:c>
      <x:c r="F5" s="28" t="n">
        <x:v>10000</x:v>
      </x:c>
      <x:c r="G5" s="28" t="str">
        <x:v>Sensitivity envelope from 10,000 Monte Carlo paths using 25% of historical annual category volatility (floored/capped); not a statistical confidence interval.</x:v>
      </x:c>
    </x:row>
    <x:row r="6">
      <x:c r="A6" s="28" t="str">
        <x:v>recuperacion_institucional</x:v>
      </x:c>
      <x:c r="B6" s="28" t="n">
        <x:v>2029</x:v>
      </x:c>
      <x:c r="C6" s="30" t="n">
        <x:v>6.09</x:v>
      </x:c>
      <x:c r="D6" s="30" t="n">
        <x:v>6.173</x:v>
      </x:c>
      <x:c r="E6" s="30" t="n">
        <x:v>6.257</x:v>
      </x:c>
      <x:c r="F6" s="28" t="n">
        <x:v>10000</x:v>
      </x:c>
      <x:c r="G6" s="28" t="str">
        <x:v>Sensitivity envelope from 10,000 Monte Carlo paths using 25% of historical annual category volatility (floored/capped); not a statistical confidence interval.</x:v>
      </x:c>
    </x:row>
    <x:row r="7">
      <x:c r="A7" s="28" t="str">
        <x:v>recuperacion_institucional</x:v>
      </x:c>
      <x:c r="B7" s="28" t="n">
        <x:v>2030</x:v>
      </x:c>
      <x:c r="C7" s="30" t="n">
        <x:v>6.129</x:v>
      </x:c>
      <x:c r="D7" s="30" t="n">
        <x:v>6.222</x:v>
      </x:c>
      <x:c r="E7" s="30" t="n">
        <x:v>6.315</x:v>
      </x:c>
      <x:c r="F7" s="28" t="n">
        <x:v>10000</x:v>
      </x:c>
      <x:c r="G7" s="28" t="str">
        <x:v>Sensitivity envelope from 10,000 Monte Carlo paths using 25% of historical annual category volatility (floored/capped); not a statistical confidence interval.</x:v>
      </x:c>
    </x:row>
    <x:row r="8">
      <x:c r="A8" s="28" t="str">
        <x:v>continuidad_hibrida</x:v>
      </x:c>
      <x:c r="B8" s="28" t="n">
        <x:v>2025</x:v>
      </x:c>
      <x:c r="C8" s="30" t="n">
        <x:v>5.88</x:v>
      </x:c>
      <x:c r="D8" s="30" t="n">
        <x:v>5.88</x:v>
      </x:c>
      <x:c r="E8" s="30" t="n">
        <x:v>5.88</x:v>
      </x:c>
      <x:c r="F8" s="28" t="n">
        <x:v>10000</x:v>
      </x:c>
      <x:c r="G8" s="28" t="str">
        <x:v>Sensitivity envelope from 10,000 Monte Carlo paths using 25% of historical annual category volatility (floored/capped); not a statistical confidence interval.</x:v>
      </x:c>
    </x:row>
    <x:row r="9">
      <x:c r="A9" s="28" t="str">
        <x:v>continuidad_hibrida</x:v>
      </x:c>
      <x:c r="B9" s="28" t="n">
        <x:v>2026</x:v>
      </x:c>
      <x:c r="C9" s="30" t="n">
        <x:v>5.802</x:v>
      </x:c>
      <x:c r="D9" s="30" t="n">
        <x:v>5.861</x:v>
      </x:c>
      <x:c r="E9" s="30" t="n">
        <x:v>5.919</x:v>
      </x:c>
      <x:c r="F9" s="28" t="n">
        <x:v>10000</x:v>
      </x:c>
      <x:c r="G9" s="28" t="str">
        <x:v>Sensitivity envelope from 10,000 Monte Carlo paths using 25% of historical annual category volatility (floored/capped); not a statistical confidence interval.</x:v>
      </x:c>
    </x:row>
    <x:row r="10">
      <x:c r="A10" s="28" t="str">
        <x:v>continuidad_hibrida</x:v>
      </x:c>
      <x:c r="B10" s="28" t="n">
        <x:v>2027</x:v>
      </x:c>
      <x:c r="C10" s="30" t="n">
        <x:v>5.788</x:v>
      </x:c>
      <x:c r="D10" s="30" t="n">
        <x:v>5.864</x:v>
      </x:c>
      <x:c r="E10" s="30" t="n">
        <x:v>5.941</x:v>
      </x:c>
      <x:c r="F10" s="28" t="n">
        <x:v>10000</x:v>
      </x:c>
      <x:c r="G10" s="28" t="str">
        <x:v>Sensitivity envelope from 10,000 Monte Carlo paths using 25% of historical annual category volatility (floored/capped); not a statistical confidence interval.</x:v>
      </x:c>
    </x:row>
    <x:row r="11">
      <x:c r="A11" s="28" t="str">
        <x:v>continuidad_hibrida</x:v>
      </x:c>
      <x:c r="B11" s="28" t="n">
        <x:v>2028</x:v>
      </x:c>
      <x:c r="C11" s="30" t="n">
        <x:v>5.777</x:v>
      </x:c>
      <x:c r="D11" s="30" t="n">
        <x:v>5.868</x:v>
      </x:c>
      <x:c r="E11" s="30" t="n">
        <x:v>5.96</x:v>
      </x:c>
      <x:c r="F11" s="28" t="n">
        <x:v>10000</x:v>
      </x:c>
      <x:c r="G11" s="28" t="str">
        <x:v>Sensitivity envelope from 10,000 Monte Carlo paths using 25% of historical annual category volatility (floored/capped); not a statistical confidence interval.</x:v>
      </x:c>
    </x:row>
    <x:row r="12">
      <x:c r="A12" s="28" t="str">
        <x:v>continuidad_hibrida</x:v>
      </x:c>
      <x:c r="B12" s="28" t="n">
        <x:v>2029</x:v>
      </x:c>
      <x:c r="C12" s="30" t="n">
        <x:v>5.767</x:v>
      </x:c>
      <x:c r="D12" s="30" t="n">
        <x:v>5.872</x:v>
      </x:c>
      <x:c r="E12" s="30" t="n">
        <x:v>5.978</x:v>
      </x:c>
      <x:c r="F12" s="28" t="n">
        <x:v>10000</x:v>
      </x:c>
      <x:c r="G12" s="28" t="str">
        <x:v>Sensitivity envelope from 10,000 Monte Carlo paths using 25% of historical annual category volatility (floored/capped); not a statistical confidence interval.</x:v>
      </x:c>
    </x:row>
    <x:row r="13">
      <x:c r="A13" s="28" t="str">
        <x:v>continuidad_hibrida</x:v>
      </x:c>
      <x:c r="B13" s="28" t="n">
        <x:v>2030</x:v>
      </x:c>
      <x:c r="C13" s="30" t="n">
        <x:v>5.759</x:v>
      </x:c>
      <x:c r="D13" s="30" t="n">
        <x:v>5.875</x:v>
      </x:c>
      <x:c r="E13" s="30" t="n">
        <x:v>5.993</x:v>
      </x:c>
      <x:c r="F13" s="28" t="n">
        <x:v>10000</x:v>
      </x:c>
      <x:c r="G13" s="28" t="str">
        <x:v>Sensitivity envelope from 10,000 Monte Carlo paths using 25% of historical annual category volatility (floored/capped); not a statistical confidence interval.</x:v>
      </x:c>
    </x:row>
    <x:row r="14">
      <x:c r="A14" s="28" t="str">
        <x:v>deriva_restrictiva</x:v>
      </x:c>
      <x:c r="B14" s="28" t="n">
        <x:v>2025</x:v>
      </x:c>
      <x:c r="C14" s="30" t="n">
        <x:v>5.88</x:v>
      </x:c>
      <x:c r="D14" s="30" t="n">
        <x:v>5.88</x:v>
      </x:c>
      <x:c r="E14" s="30" t="n">
        <x:v>5.88</x:v>
      </x:c>
      <x:c r="F14" s="28" t="n">
        <x:v>10000</x:v>
      </x:c>
      <x:c r="G14" s="28" t="str">
        <x:v>Sensitivity envelope from 10,000 Monte Carlo paths using 25% of historical annual category volatility (floored/capped); not a statistical confidence interval.</x:v>
      </x:c>
    </x:row>
    <x:row r="15">
      <x:c r="A15" s="28" t="str">
        <x:v>deriva_restrictiva</x:v>
      </x:c>
      <x:c r="B15" s="28" t="n">
        <x:v>2026</x:v>
      </x:c>
      <x:c r="C15" s="30" t="n">
        <x:v>5.635</x:v>
      </x:c>
      <x:c r="D15" s="30" t="n">
        <x:v>5.708</x:v>
      </x:c>
      <x:c r="E15" s="30" t="n">
        <x:v>5.782</x:v>
      </x:c>
      <x:c r="F15" s="28" t="n">
        <x:v>10000</x:v>
      </x:c>
      <x:c r="G15" s="28" t="str">
        <x:v>Sensitivity envelope from 10,000 Monte Carlo paths using 25% of historical annual category volatility (floored/capped); not a statistical confidence interval.</x:v>
      </x:c>
    </x:row>
    <x:row r="16">
      <x:c r="A16" s="28" t="str">
        <x:v>deriva_restrictiva</x:v>
      </x:c>
      <x:c r="B16" s="28" t="n">
        <x:v>2027</x:v>
      </x:c>
      <x:c r="C16" s="30" t="n">
        <x:v>5.506</x:v>
      </x:c>
      <x:c r="D16" s="30" t="n">
        <x:v>5.602</x:v>
      </x:c>
      <x:c r="E16" s="30" t="n">
        <x:v>5.699</x:v>
      </x:c>
      <x:c r="F16" s="28" t="n">
        <x:v>10000</x:v>
      </x:c>
      <x:c r="G16" s="28" t="str">
        <x:v>Sensitivity envelope from 10,000 Monte Carlo paths using 25% of historical annual category volatility (floored/capped); not a statistical confidence interval.</x:v>
      </x:c>
    </x:row>
    <x:row r="17">
      <x:c r="A17" s="28" t="str">
        <x:v>deriva_restrictiva</x:v>
      </x:c>
      <x:c r="B17" s="28" t="n">
        <x:v>2028</x:v>
      </x:c>
      <x:c r="C17" s="30" t="n">
        <x:v>5.392</x:v>
      </x:c>
      <x:c r="D17" s="30" t="n">
        <x:v>5.508</x:v>
      </x:c>
      <x:c r="E17" s="30" t="n">
        <x:v>5.622</x:v>
      </x:c>
      <x:c r="F17" s="28" t="n">
        <x:v>10000</x:v>
      </x:c>
      <x:c r="G17" s="28" t="str">
        <x:v>Sensitivity envelope from 10,000 Monte Carlo paths using 25% of historical annual category volatility (floored/capped); not a statistical confidence interval.</x:v>
      </x:c>
    </x:row>
    <x:row r="18">
      <x:c r="A18" s="28" t="str">
        <x:v>deriva_restrictiva</x:v>
      </x:c>
      <x:c r="B18" s="28" t="n">
        <x:v>2029</x:v>
      </x:c>
      <x:c r="C18" s="30" t="n">
        <x:v>5.294</x:v>
      </x:c>
      <x:c r="D18" s="30" t="n">
        <x:v>5.423</x:v>
      </x:c>
      <x:c r="E18" s="30" t="n">
        <x:v>5.553</x:v>
      </x:c>
      <x:c r="F18" s="28" t="n">
        <x:v>10000</x:v>
      </x:c>
      <x:c r="G18" s="28" t="str">
        <x:v>Sensitivity envelope from 10,000 Monte Carlo paths using 25% of historical annual category volatility (floored/capped); not a statistical confidence interval.</x:v>
      </x:c>
    </x:row>
    <x:row r="19">
      <x:c r="A19" s="28" t="str">
        <x:v>deriva_restrictiva</x:v>
      </x:c>
      <x:c r="B19" s="28" t="n">
        <x:v>2030</x:v>
      </x:c>
      <x:c r="C19" s="30" t="n">
        <x:v>5.208</x:v>
      </x:c>
      <x:c r="D19" s="30" t="n">
        <x:v>5.349</x:v>
      </x:c>
      <x:c r="E19" s="30" t="n">
        <x:v>5.494</x:v>
      </x:c>
      <x:c r="F19" s="28" t="n">
        <x:v>10000</x:v>
      </x:c>
      <x:c r="G19" s="28" t="str">
        <x:v>Sensitivity envelope from 10,000 Monte Carlo paths using 25% of historical annual category volatility (floored/capped); not a statistical confidence interval.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34" hidden="0" customWidth="1"/>
    <x:col min="3" max="3" width="28" hidden="0" customWidth="1"/>
    <x:col min="4" max="4" width="28" hidden="0" customWidth="1"/>
    <x:col min="7" max="7" width="32" hidden="0" customWidth="1"/>
  </x:cols>
  <x:sheetData>
    <x:row r="1">
      <x:c r="A1" s="12" t="str">
        <x:v>scenario_id</x:v>
      </x:c>
      <x:c r="B1" s="12" t="str">
        <x:v>scenario_name</x:v>
      </x:c>
      <x:c r="C1" s="12" t="str">
        <x:v>category_full</x:v>
      </x:c>
      <x:c r="D1" s="12" t="str">
        <x:v>category_es</x:v>
      </x:c>
      <x:c r="E1" s="12" t="str">
        <x:v>shock_2026</x:v>
      </x:c>
      <x:c r="F1" s="12" t="str">
        <x:v>annual_structural_rate</x:v>
      </x:c>
      <x:c r="G1" s="12" t="str">
        <x:v>evidence_basis</x:v>
      </x:c>
    </x:row>
    <x:row r="2">
      <x:c r="A2" s="28" t="str">
        <x:v>recuperacion_institucional</x:v>
      </x:c>
      <x:c r="B2" s="28" t="str">
        <x:v>Recuperación institucional y gobernabilidad negociada</x:v>
      </x:c>
      <x:c r="C2" s="28" t="str">
        <x:v>Electoral process and pluralism</x:v>
      </x:c>
      <x:c r="D2" s="28" t="str">
        <x:v>Proceso electoral y pluralismo</x:v>
      </x:c>
      <x:c r="E2" s="50" t="n">
        <x:v>0.12</x:v>
      </x:c>
      <x:c r="F2" s="50" t="n">
        <x:v>0.04</x:v>
      </x:c>
      <x:c r="G2" s="28" t="str">
        <x:v>E01;E02;E03;E04;E05;E06;E07;E08;E09</x:v>
      </x:c>
    </x:row>
    <x:row r="3">
      <x:c r="A3" s="28" t="str">
        <x:v>recuperacion_institucional</x:v>
      </x:c>
      <x:c r="B3" s="28" t="str">
        <x:v>Recuperación institucional y gobernabilidad negociada</x:v>
      </x:c>
      <x:c r="C3" s="28" t="str">
        <x:v>Functioning of government</x:v>
      </x:c>
      <x:c r="D3" s="28" t="str">
        <x:v>Funcionamiento del gobierno</x:v>
      </x:c>
      <x:c r="E3" s="50" t="n">
        <x:v>0.12</x:v>
      </x:c>
      <x:c r="F3" s="50" t="n">
        <x:v>0.1</x:v>
      </x:c>
      <x:c r="G3" s="28" t="str">
        <x:v>E01;E02;E03;E04;E05;E06;E07;E08;E09</x:v>
      </x:c>
    </x:row>
    <x:row r="4">
      <x:c r="A4" s="28" t="str">
        <x:v>recuperacion_institucional</x:v>
      </x:c>
      <x:c r="B4" s="28" t="str">
        <x:v>Recuperación institucional y gobernabilidad negociada</x:v>
      </x:c>
      <x:c r="C4" s="28" t="str">
        <x:v>Political participation</x:v>
      </x:c>
      <x:c r="D4" s="28" t="str">
        <x:v>Participación política</x:v>
      </x:c>
      <x:c r="E4" s="50" t="n">
        <x:v>0.08</x:v>
      </x:c>
      <x:c r="F4" s="50" t="n">
        <x:v>0.06</x:v>
      </x:c>
      <x:c r="G4" s="28" t="str">
        <x:v>E01;E02;E03;E04;E05;E06;E07;E08;E09</x:v>
      </x:c>
    </x:row>
    <x:row r="5">
      <x:c r="A5" s="28" t="str">
        <x:v>recuperacion_institucional</x:v>
      </x:c>
      <x:c r="B5" s="28" t="str">
        <x:v>Recuperación institucional y gobernabilidad negociada</x:v>
      </x:c>
      <x:c r="C5" s="28" t="str">
        <x:v>Political culture</x:v>
      </x:c>
      <x:c r="D5" s="28" t="str">
        <x:v>Cultura política</x:v>
      </x:c>
      <x:c r="E5" s="50" t="n">
        <x:v>0.15</x:v>
      </x:c>
      <x:c r="F5" s="50" t="n">
        <x:v>0.1</x:v>
      </x:c>
      <x:c r="G5" s="28" t="str">
        <x:v>E01;E02;E03;E04;E05;E06;E07;E08;E09</x:v>
      </x:c>
    </x:row>
    <x:row r="6">
      <x:c r="A6" s="28" t="str">
        <x:v>recuperacion_institucional</x:v>
      </x:c>
      <x:c r="B6" s="28" t="str">
        <x:v>Recuperación institucional y gobernabilidad negociada</x:v>
      </x:c>
      <x:c r="C6" s="28" t="str">
        <x:v>Civil liberties</x:v>
      </x:c>
      <x:c r="D6" s="28" t="str">
        <x:v>Libertades civiles</x:v>
      </x:c>
      <x:c r="E6" s="50" t="n">
        <x:v>0.05</x:v>
      </x:c>
      <x:c r="F6" s="50" t="n">
        <x:v>0.05</x:v>
      </x:c>
      <x:c r="G6" s="28" t="str">
        <x:v>E01;E02;E03;E04;E05;E06;E07;E08;E09</x:v>
      </x:c>
    </x:row>
    <x:row r="7">
      <x:c r="A7" s="28" t="str">
        <x:v>continuidad_hibrida</x:v>
      </x:c>
      <x:c r="B7" s="28" t="str">
        <x:v>Continuidad híbrida y estabilización competitiva</x:v>
      </x:c>
      <x:c r="C7" s="28" t="str">
        <x:v>Electoral process and pluralism</x:v>
      </x:c>
      <x:c r="D7" s="28" t="str">
        <x:v>Proceso electoral y pluralismo</x:v>
      </x:c>
      <x:c r="E7" s="50" t="n">
        <x:v>0.08</x:v>
      </x:c>
      <x:c r="F7" s="50" t="n">
        <x:v>0</x:v>
      </x:c>
      <x:c r="G7" s="28" t="str">
        <x:v>E01;E02;E03;E04;E05;E06;E07;E08;E09</x:v>
      </x:c>
    </x:row>
    <x:row r="8">
      <x:c r="A8" s="28" t="str">
        <x:v>continuidad_hibrida</x:v>
      </x:c>
      <x:c r="B8" s="28" t="str">
        <x:v>Continuidad híbrida y estabilización competitiva</x:v>
      </x:c>
      <x:c r="C8" s="28" t="str">
        <x:v>Functioning of government</x:v>
      </x:c>
      <x:c r="D8" s="28" t="str">
        <x:v>Funcionamiento del gobierno</x:v>
      </x:c>
      <x:c r="E8" s="50" t="n">
        <x:v>-0.06</x:v>
      </x:c>
      <x:c r="F8" s="50" t="n">
        <x:v>0.01</x:v>
      </x:c>
      <x:c r="G8" s="28" t="str">
        <x:v>E01;E02;E03;E04;E05;E06;E07;E08;E09</x:v>
      </x:c>
    </x:row>
    <x:row r="9">
      <x:c r="A9" s="28" t="str">
        <x:v>continuidad_hibrida</x:v>
      </x:c>
      <x:c r="B9" s="28" t="str">
        <x:v>Continuidad híbrida y estabilización competitiva</x:v>
      </x:c>
      <x:c r="C9" s="28" t="str">
        <x:v>Political participation</x:v>
      </x:c>
      <x:c r="D9" s="28" t="str">
        <x:v>Participación política</x:v>
      </x:c>
      <x:c r="E9" s="50" t="n">
        <x:v>0.06</x:v>
      </x:c>
      <x:c r="F9" s="50" t="n">
        <x:v>0.02</x:v>
      </x:c>
      <x:c r="G9" s="28" t="str">
        <x:v>E01;E02;E03;E04;E05;E06;E07;E08;E09</x:v>
      </x:c>
    </x:row>
    <x:row r="10">
      <x:c r="A10" s="28" t="str">
        <x:v>continuidad_hibrida</x:v>
      </x:c>
      <x:c r="B10" s="28" t="str">
        <x:v>Continuidad híbrida y estabilización competitiva</x:v>
      </x:c>
      <x:c r="C10" s="28" t="str">
        <x:v>Political culture</x:v>
      </x:c>
      <x:c r="D10" s="28" t="str">
        <x:v>Cultura política</x:v>
      </x:c>
      <x:c r="E10" s="50" t="n">
        <x:v>-0.1</x:v>
      </x:c>
      <x:c r="F10" s="50" t="n">
        <x:v>0</x:v>
      </x:c>
      <x:c r="G10" s="28" t="str">
        <x:v>E01;E02;E03;E04;E05;E06;E07;E08;E09</x:v>
      </x:c>
    </x:row>
    <x:row r="11">
      <x:c r="A11" s="28" t="str">
        <x:v>continuidad_hibrida</x:v>
      </x:c>
      <x:c r="B11" s="28" t="str">
        <x:v>Continuidad híbrida y estabilización competitiva</x:v>
      </x:c>
      <x:c r="C11" s="28" t="str">
        <x:v>Civil liberties</x:v>
      </x:c>
      <x:c r="D11" s="28" t="str">
        <x:v>Libertades civiles</x:v>
      </x:c>
      <x:c r="E11" s="50" t="n">
        <x:v>-0.08</x:v>
      </x:c>
      <x:c r="F11" s="50" t="n">
        <x:v>-0.01</x:v>
      </x:c>
      <x:c r="G11" s="28" t="str">
        <x:v>E01;E02;E03;E04;E05;E06;E07;E08;E09</x:v>
      </x:c>
    </x:row>
    <x:row r="12">
      <x:c r="A12" s="28" t="str">
        <x:v>deriva_restrictiva</x:v>
      </x:c>
      <x:c r="B12" s="28" t="str">
        <x:v>Deriva restrictiva y securitización</x:v>
      </x:c>
      <x:c r="C12" s="28" t="str">
        <x:v>Electoral process and pluralism</x:v>
      </x:c>
      <x:c r="D12" s="28" t="str">
        <x:v>Proceso electoral y pluralismo</x:v>
      </x:c>
      <x:c r="E12" s="50" t="n">
        <x:v>-0.08</x:v>
      </x:c>
      <x:c r="F12" s="50" t="n">
        <x:v>-0.04</x:v>
      </x:c>
      <x:c r="G12" s="28" t="str">
        <x:v>E01;E02;E03;E04;E05;E06;E07;E08;E09</x:v>
      </x:c>
    </x:row>
    <x:row r="13">
      <x:c r="A13" s="28" t="str">
        <x:v>deriva_restrictiva</x:v>
      </x:c>
      <x:c r="B13" s="28" t="str">
        <x:v>Deriva restrictiva y securitización</x:v>
      </x:c>
      <x:c r="C13" s="28" t="str">
        <x:v>Functioning of government</x:v>
      </x:c>
      <x:c r="D13" s="28" t="str">
        <x:v>Funcionamiento del gobierno</x:v>
      </x:c>
      <x:c r="E13" s="50" t="n">
        <x:v>-0.2</x:v>
      </x:c>
      <x:c r="F13" s="50" t="n">
        <x:v>-0.13</x:v>
      </x:c>
      <x:c r="G13" s="28" t="str">
        <x:v>E01;E02;E03;E04;E05;E06;E07;E08;E09</x:v>
      </x:c>
    </x:row>
    <x:row r="14">
      <x:c r="A14" s="28" t="str">
        <x:v>deriva_restrictiva</x:v>
      </x:c>
      <x:c r="B14" s="28" t="str">
        <x:v>Deriva restrictiva y securitización</x:v>
      </x:c>
      <x:c r="C14" s="28" t="str">
        <x:v>Political participation</x:v>
      </x:c>
      <x:c r="D14" s="28" t="str">
        <x:v>Participación política</x:v>
      </x:c>
      <x:c r="E14" s="50" t="n">
        <x:v>-0.05</x:v>
      </x:c>
      <x:c r="F14" s="50" t="n">
        <x:v>-0.07</x:v>
      </x:c>
      <x:c r="G14" s="28" t="str">
        <x:v>E01;E02;E03;E04;E05;E06;E07;E08;E09</x:v>
      </x:c>
    </x:row>
    <x:row r="15">
      <x:c r="A15" s="28" t="str">
        <x:v>deriva_restrictiva</x:v>
      </x:c>
      <x:c r="B15" s="28" t="str">
        <x:v>Deriva restrictiva y securitización</x:v>
      </x:c>
      <x:c r="C15" s="28" t="str">
        <x:v>Political culture</x:v>
      </x:c>
      <x:c r="D15" s="28" t="str">
        <x:v>Cultura política</x:v>
      </x:c>
      <x:c r="E15" s="50" t="n">
        <x:v>-0.25</x:v>
      </x:c>
      <x:c r="F15" s="50" t="n">
        <x:v>-0.13</x:v>
      </x:c>
      <x:c r="G15" s="28" t="str">
        <x:v>E01;E02;E03;E04;E05;E06;E07;E08;E09</x:v>
      </x:c>
    </x:row>
    <x:row r="16">
      <x:c r="A16" s="28" t="str">
        <x:v>deriva_restrictiva</x:v>
      </x:c>
      <x:c r="B16" s="28" t="str">
        <x:v>Deriva restrictiva y securitización</x:v>
      </x:c>
      <x:c r="C16" s="28" t="str">
        <x:v>Civil liberties</x:v>
      </x:c>
      <x:c r="D16" s="28" t="str">
        <x:v>Libertades civiles</x:v>
      </x:c>
      <x:c r="E16" s="50" t="n">
        <x:v>-0.28</x:v>
      </x:c>
      <x:c r="F16" s="50" t="n">
        <x:v>-0.16</x:v>
      </x:c>
      <x:c r="G16" s="28" t="str">
        <x:v>E01;E02;E03;E04;E05;E06;E07;E08;E09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12" t="str">
        <x:v>id</x:v>
      </x:c>
      <x:c r="B1" s="12" t="str">
        <x:v>date</x:v>
      </x:c>
      <x:c r="C1" s="12" t="str">
        <x:v>type</x:v>
      </x:c>
      <x:c r="D1" s="12" t="str">
        <x:v>source</x:v>
      </x:c>
      <x:c r="E1" s="12" t="str">
        <x:v>title</x:v>
      </x:c>
      <x:c r="F1" s="12" t="str">
        <x:v>signal</x:v>
      </x:c>
      <x:c r="G1" s="12" t="str">
        <x:v>model_dimensions</x:v>
      </x:c>
      <x:c r="H1" s="12" t="str">
        <x:v>url</x:v>
      </x:c>
      <x:c r="I1" s="12" t="str">
        <x:v>weight</x:v>
      </x:c>
    </x:row>
    <x:row r="2">
      <x:c r="A2" s="28" t="str">
        <x:v>E01</x:v>
      </x:c>
      <x:c r="B2" s="28" t="str">
        <x:v>2026-08-17</x:v>
      </x:c>
      <x:c r="C2" s="28" t="str">
        <x:v>international_observation_final</x:v>
      </x:c>
      <x:c r="D2" s="28" t="str">
        <x:v>European Union Election Observation Mission</x:v>
      </x:c>
      <x:c r="E2" s="28" t="str">
        <x:v>PERU 2026: Final Report - General elections and Presidential run-off</x:v>
      </x:c>
      <x:c r="F2" s="28" t="str">
        <x:v>Final post-electoral assessment and recommendations; used as the strongest post-election institutional evidence input.</x:v>
      </x:c>
      <x:c r="G2" s="28" t="str">
        <x:v>electoral_integrity;governance;rights</x:v>
      </x:c>
      <x:c r="H2" s="56" t="str">
        <x:v>https://www.eeas.europa.eu/eom-peru-2026/peru-2026-final-report-general-elections-and-presidential-run_en</x:v>
      </x:c>
      <x:c r="I2" s="50" t="n">
        <x:v>1</x:v>
      </x:c>
    </x:row>
    <x:row r="3">
      <x:c r="A3" s="28" t="str">
        <x:v>E02</x:v>
      </x:c>
      <x:c r="B3" s="28" t="str">
        <x:v>2026-07-08</x:v>
      </x:c>
      <x:c r="C3" s="28" t="str">
        <x:v>international_observation</x:v>
      </x:c>
      <x:c r="D3" s="28" t="str">
        <x:v>Organization of American States</x:v>
      </x:c>
      <x:c r="E3" s="28" t="str">
        <x:v>Segundo Informe de la Misión de Observación Electoral de la OEA en Perú para la Segunda Elección Presidencial 2026</x:v>
      </x:c>
      <x:c r="F3" s="28" t="str">
        <x:v>Documents the post-electoral review phase and institutional guarantees/risks after the runoff.</x:v>
      </x:c>
      <x:c r="G3" s="28" t="str">
        <x:v>electoral_integrity;legitimacy</x:v>
      </x:c>
      <x:c r="H3" s="56" t="str">
        <x:v>https://www.oas.org/es/centro_noticias/comunicado_prensa.asp?sCodigo=D-017%2F26</x:v>
      </x:c>
      <x:c r="I3" s="50" t="n">
        <x:v>0.95</x:v>
      </x:c>
    </x:row>
    <x:row r="4">
      <x:c r="A4" s="28" t="str">
        <x:v>E03</x:v>
      </x:c>
      <x:c r="B4" s="28" t="str">
        <x:v>2026-07-03</x:v>
      </x:c>
      <x:c r="C4" s="28" t="str">
        <x:v>official_result</x:v>
      </x:c>
      <x:c r="D4" s="28" t="str">
        <x:v>Jurado Nacional de Elecciones</x:v>
      </x:c>
      <x:c r="E4" s="28" t="str">
        <x:v>Elecciones Generales 2026 - proclamación y credencial presidencial</x:v>
      </x:c>
      <x:c r="F4" s="28" t="str">
        <x:v>Official proclamation of Keiko Fujimori Higuchi as president-elect; resolves the election outcome used in scenario conditioning.</x:v>
      </x:c>
      <x:c r="G4" s="28" t="str">
        <x:v>electoral_outcome;legitimacy</x:v>
      </x:c>
      <x:c r="H4" s="56" t="str">
        <x:v>https://portal.jne.gob.pe/portal/Pagina/Ver/979/page/Elecciones-Generales-2026</x:v>
      </x:c>
      <x:c r="I4" s="50" t="n">
        <x:v>1</x:v>
      </x:c>
    </x:row>
    <x:row r="5">
      <x:c r="A5" s="28" t="str">
        <x:v>E04</x:v>
      </x:c>
      <x:c r="B5" s="28" t="str">
        <x:v>2026-07-03</x:v>
      </x:c>
      <x:c r="C5" s="28" t="str">
        <x:v>news_wire</x:v>
      </x:c>
      <x:c r="D5" s="28" t="str">
        <x:v>Reuters</x:v>
      </x:c>
      <x:c r="E5" s="28" t="str">
        <x:v>Keiko Fujimori declared winner of Peru presidential race</x:v>
      </x:c>
      <x:c r="F5" s="28" t="str">
        <x:v>Runoff result 50.135% vs 49.865%, roughly 50,000-vote margin; highlights deep polarization and fragmented Congress.</x:v>
      </x:c>
      <x:c r="G5" s="28" t="str">
        <x:v>polarization;governability;legitimacy</x:v>
      </x:c>
      <x:c r="H5" s="56" t="str">
        <x:v>https://www.reuters.com/world/americas/keiko-fujimori-declared-winner-peru-presidential-race-2026-07-03/</x:v>
      </x:c>
      <x:c r="I5" s="50" t="n">
        <x:v>0.9</x:v>
      </x:c>
    </x:row>
    <x:row r="6">
      <x:c r="A6" s="28" t="str">
        <x:v>E05</x:v>
      </x:c>
      <x:c r="B6" s="28" t="str">
        <x:v>2026-07-28</x:v>
      </x:c>
      <x:c r="C6" s="28" t="str">
        <x:v>post_inauguration_news</x:v>
      </x:c>
      <x:c r="D6" s="28" t="str">
        <x:v>Associated Press</x:v>
      </x:c>
      <x:c r="E6" s="28" t="str">
        <x:v>Keiko Fujimori is inaugurated as Peru president following a narrow election victory</x:v>
      </x:c>
      <x:c r="F6" s="28" t="str">
        <x:v>Post-inauguration evidence on security agenda and bicameral legislative support constraints/opportunities.</x:v>
      </x:c>
      <x:c r="G6" s="28" t="str">
        <x:v>security;governability;rights</x:v>
      </x:c>
      <x:c r="H6" s="56" t="str">
        <x:v>https://apnews.com/article/84d08998b1629c95f0383d7b5a7a7f6b</x:v>
      </x:c>
      <x:c r="I6" s="50" t="n">
        <x:v>0.8</x:v>
      </x:c>
    </x:row>
    <x:row r="7">
      <x:c r="A7" s="28" t="str">
        <x:v>E06</x:v>
      </x:c>
      <x:c r="B7" s="28" t="str">
        <x:v>2026-06-24</x:v>
      </x:c>
      <x:c r="C7" s="28" t="str">
        <x:v>expert_analysis</x:v>
      </x:c>
      <x:c r="D7" s="28" t="str">
        <x:v>European Center for Populism Studies</x:v>
      </x:c>
      <x:c r="E7" s="28" t="str">
        <x:v>Prof. Carrión: I Am Very Pessimistic About the Prospects for Peruvian Democracy</x:v>
      </x:c>
      <x:c r="F7" s="28" t="str">
        <x:v>Expert post-runoff diagnosis of representation weakness, institutional distrust, fragmentation and legitimacy erosion.</x:v>
      </x:c>
      <x:c r="G7" s="28" t="str">
        <x:v>political_culture;governability;polarization</x:v>
      </x:c>
      <x:c r="H7" s="56" t="str">
        <x:v>https://www.populismstudies.org/prof-carrion-i-am-very-pessimistic-about-the-prospects-for-peruvian-democracy/</x:v>
      </x:c>
      <x:c r="I7" s="50" t="n">
        <x:v>0.75</x:v>
      </x:c>
    </x:row>
    <x:row r="8">
      <x:c r="A8" s="28" t="str">
        <x:v>E07</x:v>
      </x:c>
      <x:c r="B8" s="28" t="str">
        <x:v>2026-06-01</x:v>
      </x:c>
      <x:c r="C8" s="28" t="str">
        <x:v>working_paper</x:v>
      </x:c>
      <x:c r="D8" s="28" t="str">
        <x:v>arXiv / authors</x:v>
      </x:c>
      <x:c r="E8" s="28" t="str">
        <x:v>Information and voting: Evidence from Peru's 2026 presidential election</x:v>
      </x:c>
      <x:c r="F8" s="28" t="str">
        <x:v>Natural experiment on information effects in a fragmented presidential election; informs participation/information-system sensitivity.</x:v>
      </x:c>
      <x:c r="G8" s="28" t="str">
        <x:v>participation;electoral_information</x:v>
      </x:c>
      <x:c r="H8" s="56" t="str">
        <x:v>https://arxiv.org/abs/2606.01687</x:v>
      </x:c>
      <x:c r="I8" s="50" t="n">
        <x:v>0.75</x:v>
      </x:c>
    </x:row>
    <x:row r="9">
      <x:c r="A9" s="28" t="str">
        <x:v>E08</x:v>
      </x:c>
      <x:c r="B9" s="28" t="str">
        <x:v>2026-01-01</x:v>
      </x:c>
      <x:c r="C9" s="28" t="str">
        <x:v>country_assessment</x:v>
      </x:c>
      <x:c r="D9" s="28" t="str">
        <x:v>Bertelsmann Transformation Index</x:v>
      </x:c>
      <x:c r="E9" s="28" t="str">
        <x:v>BTI 2026 Peru Country Report</x:v>
      </x:c>
      <x:c r="F9" s="28" t="str">
        <x:v>Structural baseline: weak parties, short-term political calculations and fragile commitment to democratic institutions.</x:v>
      </x:c>
      <x:c r="G9" s="28" t="str">
        <x:v>governance;political_culture;rule_of_law</x:v>
      </x:c>
      <x:c r="H9" s="56" t="str">
        <x:v>https://bti-project.org/en/reports/country-report/PER</x:v>
      </x:c>
      <x:c r="I9" s="50" t="n">
        <x:v>0.7</x:v>
      </x:c>
    </x:row>
    <x:row r="10">
      <x:c r="A10" s="28" t="str">
        <x:v>E09</x:v>
      </x:c>
      <x:c r="B10" s="28" t="str">
        <x:v>2026-01-01</x:v>
      </x:c>
      <x:c r="C10" s="28" t="str">
        <x:v>official_index_report</x:v>
      </x:c>
      <x:c r="D10" s="28" t="str">
        <x:v>Economist Intelligence Unit</x:v>
      </x:c>
      <x:c r="E10" s="28" t="str">
        <x:v>Democracy Index 2025: Democracy stabilises after eight years of decline</x:v>
      </x:c>
      <x:c r="F10" s="28" t="str">
        <x:v>2025 empirical anchor; regional recovery but EIU outlook anticipated a likely right-wing populist Peruvian government and hard-line security policy.</x:v>
      </x:c>
      <x:c r="G10" s="28" t="str">
        <x:v>overall;security;regional_context</x:v>
      </x:c>
      <x:c r="H10" s="56" t="str">
        <x:v>https://www.eiu.com/n/campaigns/democracy-index-2025/</x:v>
      </x:c>
      <x:c r="I10" s="50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7" max="7" width="58" hidden="0" customWidth="1"/>
  </x:cols>
  <x:sheetData>
    <x:row r="1">
      <x:c r="A1" s="12" t="str">
        <x:v>category_full</x:v>
      </x:c>
      <x:c r="B1" s="12" t="str">
        <x:v>peru_2024_observed</x:v>
      </x:c>
      <x:c r="C1" s="12" t="str">
        <x:v>latam_delta_2025_2024</x:v>
      </x:c>
      <x:c r="D1" s="12" t="str">
        <x:v>world_delta_2025_2024</x:v>
      </x:c>
      <x:c r="E1" s="12" t="str">
        <x:v>peru_2025_modeled_anchor</x:v>
      </x:c>
      <x:c r="F1" s="12" t="str">
        <x:v>peru_delta_2025_2024</x:v>
      </x:c>
      <x:c r="G1" s="12" t="str">
        <x:v>rationale</x:v>
      </x:c>
    </x:row>
    <x:row r="2">
      <x:c r="A2" s="28" t="str">
        <x:v>Electoral process and pluralism</x:v>
      </x:c>
      <x:c r="B2" s="50" t="n">
        <x:v>8.75</x:v>
      </x:c>
      <x:c r="C2" s="50" t="n">
        <x:v>0.11</x:v>
      </x:c>
      <x:c r="D2" s="50" t="n">
        <x:v>-0.03</x:v>
      </x:c>
      <x:c r="E2" s="50" t="n">
        <x:v>8.88</x:v>
      </x:c>
      <x:c r="F2" s="50" t="n">
        <x:v>0.13</x:v>
      </x:c>
      <x:c r="G2" s="28" t="str">
        <x:v>Constrained calibration to observed Peru overall 5.88; allocation prioritises 2025 regional rebound in political culture/government and keeps civil-liberties change conservative.</x:v>
      </x:c>
    </x:row>
    <x:row r="3">
      <x:c r="A3" s="28" t="str">
        <x:v>Functioning of government</x:v>
      </x:c>
      <x:c r="B3" s="50" t="n">
        <x:v>5.71</x:v>
      </x:c>
      <x:c r="C3" s="50" t="n">
        <x:v>0.21</x:v>
      </x:c>
      <x:c r="D3" s="50" t="n">
        <x:v>0.07</x:v>
      </x:c>
      <x:c r="E3" s="50" t="n">
        <x:v>6.03</x:v>
      </x:c>
      <x:c r="F3" s="50" t="n">
        <x:v>0.32</x:v>
      </x:c>
      <x:c r="G3" s="28" t="str">
        <x:v>Constrained calibration to observed Peru overall 5.88; allocation prioritises 2025 regional rebound in political culture/government and keeps civil-liberties change conservative.</x:v>
      </x:c>
    </x:row>
    <x:row r="4">
      <x:c r="A4" s="28" t="str">
        <x:v>Political participation</x:v>
      </x:c>
      <x:c r="B4" s="50" t="n">
        <x:v>5</x:v>
      </x:c>
      <x:c r="C4" s="50" t="n">
        <x:v>-0.05</x:v>
      </x:c>
      <x:c r="D4" s="50" t="n">
        <x:v>0</x:v>
      </x:c>
      <x:c r="E4" s="50" t="n">
        <x:v>5.07</x:v>
      </x:c>
      <x:c r="F4" s="50" t="n">
        <x:v>0.07</x:v>
      </x:c>
      <x:c r="G4" s="28" t="str">
        <x:v>Constrained calibration to observed Peru overall 5.88; allocation prioritises 2025 regional rebound in political culture/government and keeps civil-liberties change conservative.</x:v>
      </x:c>
    </x:row>
    <x:row r="5">
      <x:c r="A5" s="28" t="str">
        <x:v>Political culture</x:v>
      </x:c>
      <x:c r="B5" s="50" t="n">
        <x:v>2.5</x:v>
      </x:c>
      <x:c r="C5" s="50" t="n">
        <x:v>0.39</x:v>
      </x:c>
      <x:c r="D5" s="50" t="n">
        <x:v>0.07</x:v>
      </x:c>
      <x:c r="E5" s="50" t="n">
        <x:v>3</x:v>
      </x:c>
      <x:c r="F5" s="50" t="n">
        <x:v>0.5</x:v>
      </x:c>
      <x:c r="G5" s="28" t="str">
        <x:v>Constrained calibration to observed Peru overall 5.88; allocation prioritises 2025 regional rebound in political culture/government and keeps civil-liberties change conservative.</x:v>
      </x:c>
    </x:row>
    <x:row r="6">
      <x:c r="A6" s="28" t="str">
        <x:v>Civil liberties</x:v>
      </x:c>
      <x:c r="B6" s="50" t="n">
        <x:v>6.47</x:v>
      </x:c>
      <x:c r="C6" s="50" t="n">
        <x:v>-0.13</x:v>
      </x:c>
      <x:c r="D6" s="50" t="n">
        <x:v>-0.03</x:v>
      </x:c>
      <x:c r="E6" s="50" t="n">
        <x:v>6.42</x:v>
      </x:c>
      <x:c r="F6" s="50" t="n">
        <x:v>-0.05</x:v>
      </x:c>
      <x:c r="G6" s="28" t="str">
        <x:v>Constrained calibration to observed Peru overall 5.88; allocation prioritises 2025 regional rebound in political culture/government and keeps civil-liberties change conservative.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3" max="3" width="55" hidden="0" customWidth="1"/>
    <x:col min="4" max="4" width="55" hidden="0" customWidth="1"/>
    <x:col min="1" max="1" width="24" hidden="0" customWidth="1"/>
    <x:col min="2" max="2" width="24" hidden="0" customWidth="1"/>
  </x:cols>
  <x:sheetData>
    <x:row r="1">
      <x:c r="A1" s="4" t="str">
        <x:v>Metodología, fórmulas y trazabilidad</x:v>
      </x:c>
      <x:c r="B1" s="4"/>
      <x:c r="C1" s="4"/>
      <x:c r="D1" s="4"/>
    </x:row>
    <x:row r="2">
      <x:c r="A2" s="4"/>
      <x:c r="B2" s="4"/>
      <x:c r="C2" s="4"/>
      <x:c r="D2" s="4"/>
    </x:row>
    <x:row r="4">
      <x:c r="A4" s="12" t="str">
        <x:v>formula_id</x:v>
      </x:c>
      <x:c r="B4" s="12" t="str">
        <x:v>component</x:v>
      </x:c>
      <x:c r="C4" s="12" t="str">
        <x:v>formula</x:v>
      </x:c>
      <x:c r="D4" s="12" t="str">
        <x:v>interpretation</x:v>
      </x:c>
    </x:row>
    <x:row r="5">
      <x:c r="A5" s="28" t="str">
        <x:v>M1</x:v>
      </x:c>
      <x:c r="B5" s="28" t="str">
        <x:v>2025 categorical anchor</x:v>
      </x:c>
      <x:c r="C5" s="28" t="str">
        <x:v>sum_i x_i,2025 / 5 = Peru overall 2025 = 5.88</x:v>
      </x:c>
      <x:c r="D5" s="28" t="str">
        <x:v>Peru category sub-pillars absent from supplied EIU summary; constrained latent calibration.</x:v>
      </x:c>
    </x:row>
    <x:row r="6">
      <x:c r="A6" s="28" t="str">
        <x:v>M2</x:v>
      </x:c>
      <x:c r="B6" s="28" t="str">
        <x:v>2026 election shock</x:v>
      </x:c>
      <x:c r="C6" s="28" t="str">
        <x:v>x_i,2026 = clip(x_i,2025 + e_i,s, 0, 10)</x:v>
      </x:c>
      <x:c r="D6" s="28" t="str">
        <x:v>Scenario-specific one-off adjustment conditioned on post-election evidence.</x:v>
      </x:c>
    </x:row>
    <x:row r="7">
      <x:c r="A7" s="28" t="str">
        <x:v>M3</x:v>
      </x:c>
      <x:c r="B7" s="28" t="str">
        <x:v>2027-2030 structural path</x:v>
      </x:c>
      <x:c r="C7" s="28" t="str">
        <x:v>x_i,t = clip(x_i,t-1 + g_i,s * d_t, 0, 10); d={1.0,0.9,0.8,0.7}</x:v>
      </x:c>
      <x:c r="D7" s="28" t="str">
        <x:v>Damped scenario rate avoids indefinite linear extrapolation.</x:v>
      </x:c>
    </x:row>
    <x:row r="8">
      <x:c r="A8" s="28" t="str">
        <x:v>M4</x:v>
      </x:c>
      <x:c r="B8" s="28" t="str">
        <x:v>Overall score</x:v>
      </x:c>
      <x:c r="C8" s="28" t="str">
        <x:v>D_t = mean_i(x_i,t)</x:v>
      </x:c>
      <x:c r="D8" s="28" t="str">
        <x:v>Consistent with five-category averaging logic used by EIU; rounded for display.</x:v>
      </x:c>
    </x:row>
    <x:row r="9">
      <x:c r="A9" s="28" t="str">
        <x:v>M5</x:v>
      </x:c>
      <x:c r="B9" s="28" t="str">
        <x:v>Regime threshold</x:v>
      </x:c>
      <x:c r="C9" s="28" t="str">
        <x:v>&lt;=4 authoritarian; &gt;4 to &lt;=6 hybrid; &gt;6 to &lt;=8 flawed; &gt;8 full</x:v>
      </x:c>
      <x:c r="D9" s="28" t="str">
        <x:v>Classification rule retained from original project.</x:v>
      </x:c>
    </x:row>
    <x:row r="10">
      <x:c r="A10" s="28" t="str">
        <x:v>M6</x:v>
      </x:c>
      <x:c r="B10" s="28" t="str">
        <x:v>Sensitivity band</x:v>
      </x:c>
      <x:c r="C10" s="28" t="str">
        <x:v>10,000 Monte Carlo paths; sigma_i = clip(0.25*sd(annual category deltas 2020-24),0.04,0.20)</x:v>
      </x:c>
      <x:c r="D10" s="28" t="str">
        <x:v>Sensitivity envelope p10-p90, not a forecast confidence interval.</x:v>
      </x:c>
    </x:row>
    <x:row r="13">
      <x:c r="A13" s="12" t="str">
        <x:v>Regla de clasificación</x:v>
      </x:c>
      <x:c r="B13" s="12" t="str">
        <x:v>Rango</x:v>
      </x:c>
      <x:c r="C13" s="12" t="str">
        <x:v>Uso</x:v>
      </x:c>
      <x:c r="D13" s="12" t="str">
        <x:v>Nota</x:v>
      </x:c>
    </x:row>
    <x:row r="14">
      <x:c r="A14" s="28" t="str">
        <x:v>Full democracy</x:v>
      </x:c>
      <x:c r="B14" s="28" t="str">
        <x:v>&gt; 8.00</x:v>
      </x:c>
      <x:c r="C14" s="28" t="str">
        <x:v>Histórico/escenarios</x:v>
      </x:c>
      <x:c r="D14" s="28" t="str">
        <x:v>Regla del proyecto original</x:v>
      </x:c>
    </x:row>
    <x:row r="15">
      <x:c r="A15" s="28" t="str">
        <x:v>Flawed democracy</x:v>
      </x:c>
      <x:c r="B15" s="28" t="str">
        <x:v>&gt; 6.00 y ≤ 8.00</x:v>
      </x:c>
      <x:c r="C15" s="28" t="str">
        <x:v>Histórico/escenarios</x:v>
      </x:c>
      <x:c r="D15" s="28" t="str">
        <x:v>Regla del proyecto original</x:v>
      </x:c>
    </x:row>
    <x:row r="16">
      <x:c r="A16" s="28" t="str">
        <x:v>Hybrid regime</x:v>
      </x:c>
      <x:c r="B16" s="28" t="str">
        <x:v>&gt; 4.00 y ≤ 6.00</x:v>
      </x:c>
      <x:c r="C16" s="28" t="str">
        <x:v>Histórico/escenarios</x:v>
      </x:c>
      <x:c r="D16" s="28" t="str">
        <x:v>Regla del proyecto original</x:v>
      </x:c>
    </x:row>
    <x:row r="17">
      <x:c r="A17" s="28" t="str">
        <x:v>Authoritarian regime</x:v>
      </x:c>
      <x:c r="B17" s="28" t="str">
        <x:v>≤ 4.00</x:v>
      </x:c>
      <x:c r="C17" s="28" t="str">
        <x:v>Histórico/escenarios</x:v>
      </x:c>
      <x:c r="D17" s="28" t="str">
        <x:v>Regla del proyecto original</x:v>
      </x:c>
    </x:row>
  </x:sheetData>
  <x:mergeCells>
    <x:mergeCell ref="A1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4" max="4" width="52" hidden="0" customWidth="1"/>
  </x:cols>
  <x:sheetData>
    <x:row r="1">
      <x:c r="A1" s="12" t="str">
        <x:v>file</x:v>
      </x:c>
      <x:c r="B1" s="12" t="str">
        <x:v>field</x:v>
      </x:c>
      <x:c r="C1" s="12" t="str">
        <x:v>dtype</x:v>
      </x:c>
      <x:c r="D1" s="12" t="str">
        <x:v>description</x:v>
      </x:c>
    </x:row>
    <x:row r="2">
      <x:c r="A2" s="28" t="str">
        <x:v>overall_multilevel_2020_2025.csv</x:v>
      </x:c>
      <x:c r="B2" s="28" t="str">
        <x:v>year</x:v>
      </x:c>
      <x:c r="C2" s="28" t="str">
        <x:v>int64</x:v>
      </x:c>
      <x:c r="D2" s="28"/>
    </x:row>
    <x:row r="3">
      <x:c r="A3" s="28" t="str">
        <x:v>overall_multilevel_2020_2025.csv</x:v>
      </x:c>
      <x:c r="B3" s="28" t="str">
        <x:v>peru_score</x:v>
      </x:c>
      <x:c r="C3" s="28" t="str">
        <x:v>float64</x:v>
      </x:c>
      <x:c r="D3" s="28"/>
    </x:row>
    <x:row r="4">
      <x:c r="A4" s="28" t="str">
        <x:v>overall_multilevel_2020_2025.csv</x:v>
      </x:c>
      <x:c r="B4" s="28" t="str">
        <x:v>latin_america_score</x:v>
      </x:c>
      <x:c r="C4" s="28" t="str">
        <x:v>float64</x:v>
      </x:c>
      <x:c r="D4" s="28"/>
    </x:row>
    <x:row r="5">
      <x:c r="A5" s="28" t="str">
        <x:v>overall_multilevel_2020_2025.csv</x:v>
      </x:c>
      <x:c r="B5" s="28" t="str">
        <x:v>world_score</x:v>
      </x:c>
      <x:c r="C5" s="28" t="str">
        <x:v>float64</x:v>
      </x:c>
      <x:c r="D5" s="28"/>
    </x:row>
    <x:row r="6">
      <x:c r="A6" s="28" t="str">
        <x:v>overall_multilevel_2020_2025.csv</x:v>
      </x:c>
      <x:c r="B6" s="28" t="str">
        <x:v>peru_regime_type</x:v>
      </x:c>
      <x:c r="C6" s="28" t="str">
        <x:v>object</x:v>
      </x:c>
      <x:c r="D6" s="28"/>
    </x:row>
    <x:row r="7">
      <x:c r="A7" s="28" t="str">
        <x:v>overall_multilevel_2020_2025.csv</x:v>
      </x:c>
      <x:c r="B7" s="28" t="str">
        <x:v>peru_minus_latam</x:v>
      </x:c>
      <x:c r="C7" s="28" t="str">
        <x:v>float64</x:v>
      </x:c>
      <x:c r="D7" s="28"/>
    </x:row>
    <x:row r="8">
      <x:c r="A8" s="28" t="str">
        <x:v>overall_multilevel_2020_2025.csv</x:v>
      </x:c>
      <x:c r="B8" s="28" t="str">
        <x:v>peru_minus_world</x:v>
      </x:c>
      <x:c r="C8" s="28" t="str">
        <x:v>float64</x:v>
      </x:c>
      <x:c r="D8" s="28"/>
    </x:row>
    <x:row r="9">
      <x:c r="A9" s="28" t="str">
        <x:v>overall_multilevel_2020_2025.csv</x:v>
      </x:c>
      <x:c r="B9" s="28" t="str">
        <x:v>latam_minus_world</x:v>
      </x:c>
      <x:c r="C9" s="28" t="str">
        <x:v>float64</x:v>
      </x:c>
      <x:c r="D9" s="28"/>
    </x:row>
    <x:row r="10">
      <x:c r="A10" s="28" t="str">
        <x:v>overall_multilevel_2020_2025.csv</x:v>
      </x:c>
      <x:c r="B10" s="28" t="str">
        <x:v>peru_pct_change_vs_2020</x:v>
      </x:c>
      <x:c r="C10" s="28" t="str">
        <x:v>float64</x:v>
      </x:c>
      <x:c r="D10" s="28"/>
    </x:row>
    <x:row r="11">
      <x:c r="A11" s="28" t="str">
        <x:v>overall_multilevel_2020_2025.csv</x:v>
      </x:c>
      <x:c r="B11" s="28" t="str">
        <x:v>latin_america_pct_change_vs_2020</x:v>
      </x:c>
      <x:c r="C11" s="28" t="str">
        <x:v>float64</x:v>
      </x:c>
      <x:c r="D11" s="28"/>
    </x:row>
    <x:row r="12">
      <x:c r="A12" s="28" t="str">
        <x:v>overall_multilevel_2020_2025.csv</x:v>
      </x:c>
      <x:c r="B12" s="28" t="str">
        <x:v>world_pct_change_vs_2020</x:v>
      </x:c>
      <x:c r="C12" s="28" t="str">
        <x:v>float64</x:v>
      </x:c>
      <x:c r="D12" s="28"/>
    </x:row>
    <x:row r="13">
      <x:c r="A13" s="28" t="str">
        <x:v>overall_multilevel_2020_2025.csv</x:v>
      </x:c>
      <x:c r="B13" s="28" t="str">
        <x:v>source_peru</x:v>
      </x:c>
      <x:c r="C13" s="28" t="str">
        <x:v>object</x:v>
      </x:c>
      <x:c r="D13" s="28"/>
    </x:row>
    <x:row r="14">
      <x:c r="A14" s="28" t="str">
        <x:v>overall_multilevel_2020_2025.csv</x:v>
      </x:c>
      <x:c r="B14" s="28" t="str">
        <x:v>source_latam</x:v>
      </x:c>
      <x:c r="C14" s="28" t="str">
        <x:v>object</x:v>
      </x:c>
      <x:c r="D14" s="28"/>
    </x:row>
    <x:row r="15">
      <x:c r="A15" s="28" t="str">
        <x:v>overall_multilevel_2020_2025.csv</x:v>
      </x:c>
      <x:c r="B15" s="28" t="str">
        <x:v>source_world</x:v>
      </x:c>
      <x:c r="C15" s="28" t="str">
        <x:v>object</x:v>
      </x:c>
      <x:c r="D15" s="28"/>
    </x:row>
    <x:row r="16">
      <x:c r="A16" s="28" t="str">
        <x:v>overall_multilevel_2020_2025.csv</x:v>
      </x:c>
      <x:c r="B16" s="28" t="str">
        <x:v>peru_rank</x:v>
      </x:c>
      <x:c r="C16" s="28" t="str">
        <x:v>Int64</x:v>
      </x:c>
      <x:c r="D16" s="28"/>
    </x:row>
    <x:row r="17">
      <x:c r="A17" s="28" t="str">
        <x:v>overall_multilevel_2020_2025.csv</x:v>
      </x:c>
      <x:c r="B17" s="28" t="str">
        <x:v>data_status_peru</x:v>
      </x:c>
      <x:c r="C17" s="28" t="str">
        <x:v>object</x:v>
      </x:c>
      <x:c r="D17" s="28"/>
    </x:row>
    <x:row r="18">
      <x:c r="A18" s="28" t="str">
        <x:v>categories_multilevel_2020_2025.csv</x:v>
      </x:c>
      <x:c r="B18" s="28" t="str">
        <x:v>year</x:v>
      </x:c>
      <x:c r="C18" s="28" t="str">
        <x:v>int64</x:v>
      </x:c>
      <x:c r="D18" s="28"/>
    </x:row>
    <x:row r="19">
      <x:c r="A19" s="28" t="str">
        <x:v>categories_multilevel_2020_2025.csv</x:v>
      </x:c>
      <x:c r="B19" s="28" t="str">
        <x:v>category</x:v>
      </x:c>
      <x:c r="C19" s="28" t="str">
        <x:v>object</x:v>
      </x:c>
      <x:c r="D19" s="28"/>
    </x:row>
    <x:row r="20">
      <x:c r="A20" s="28" t="str">
        <x:v>categories_multilevel_2020_2025.csv</x:v>
      </x:c>
      <x:c r="B20" s="28" t="str">
        <x:v>category_full</x:v>
      </x:c>
      <x:c r="C20" s="28" t="str">
        <x:v>object</x:v>
      </x:c>
      <x:c r="D20" s="28"/>
    </x:row>
    <x:row r="21">
      <x:c r="A21" s="28" t="str">
        <x:v>categories_multilevel_2020_2025.csv</x:v>
      </x:c>
      <x:c r="B21" s="28" t="str">
        <x:v>peru_score</x:v>
      </x:c>
      <x:c r="C21" s="28" t="str">
        <x:v>float64</x:v>
      </x:c>
      <x:c r="D21" s="28"/>
    </x:row>
    <x:row r="22">
      <x:c r="A22" s="28" t="str">
        <x:v>categories_multilevel_2020_2025.csv</x:v>
      </x:c>
      <x:c r="B22" s="28" t="str">
        <x:v>latin_america_score</x:v>
      </x:c>
      <x:c r="C22" s="28" t="str">
        <x:v>float64</x:v>
      </x:c>
      <x:c r="D22" s="28"/>
    </x:row>
    <x:row r="23">
      <x:c r="A23" s="28" t="str">
        <x:v>categories_multilevel_2020_2025.csv</x:v>
      </x:c>
      <x:c r="B23" s="28" t="str">
        <x:v>world_score</x:v>
      </x:c>
      <x:c r="C23" s="28" t="str">
        <x:v>float64</x:v>
      </x:c>
      <x:c r="D23" s="28"/>
    </x:row>
    <x:row r="24">
      <x:c r="A24" s="28" t="str">
        <x:v>categories_multilevel_2020_2025.csv</x:v>
      </x:c>
      <x:c r="B24" s="28" t="str">
        <x:v>peru_minus_latam</x:v>
      </x:c>
      <x:c r="C24" s="28" t="str">
        <x:v>float64</x:v>
      </x:c>
      <x:c r="D24" s="28"/>
    </x:row>
    <x:row r="25">
      <x:c r="A25" s="28" t="str">
        <x:v>categories_multilevel_2020_2025.csv</x:v>
      </x:c>
      <x:c r="B25" s="28" t="str">
        <x:v>peru_minus_world</x:v>
      </x:c>
      <x:c r="C25" s="28" t="str">
        <x:v>float64</x:v>
      </x:c>
      <x:c r="D25" s="28"/>
    </x:row>
    <x:row r="26">
      <x:c r="A26" s="28" t="str">
        <x:v>categories_multilevel_2020_2025.csv</x:v>
      </x:c>
      <x:c r="B26" s="28" t="str">
        <x:v>latam_minus_world</x:v>
      </x:c>
      <x:c r="C26" s="28" t="str">
        <x:v>float64</x:v>
      </x:c>
      <x:c r="D26" s="28"/>
    </x:row>
    <x:row r="27">
      <x:c r="A27" s="28" t="str">
        <x:v>categories_multilevel_2020_2025.csv</x:v>
      </x:c>
      <x:c r="B27" s="28" t="str">
        <x:v>source_peru</x:v>
      </x:c>
      <x:c r="C27" s="28" t="str">
        <x:v>object</x:v>
      </x:c>
      <x:c r="D27" s="28"/>
    </x:row>
    <x:row r="28">
      <x:c r="A28" s="28" t="str">
        <x:v>categories_multilevel_2020_2025.csv</x:v>
      </x:c>
      <x:c r="B28" s="28" t="str">
        <x:v>source_latam</x:v>
      </x:c>
      <x:c r="C28" s="28" t="str">
        <x:v>object</x:v>
      </x:c>
      <x:c r="D28" s="28"/>
    </x:row>
    <x:row r="29">
      <x:c r="A29" s="28" t="str">
        <x:v>categories_multilevel_2020_2025.csv</x:v>
      </x:c>
      <x:c r="B29" s="28" t="str">
        <x:v>source_world</x:v>
      </x:c>
      <x:c r="C29" s="28" t="str">
        <x:v>object</x:v>
      </x:c>
      <x:c r="D29" s="28"/>
    </x:row>
    <x:row r="30">
      <x:c r="A30" s="28" t="str">
        <x:v>categories_multilevel_2020_2025.csv</x:v>
      </x:c>
      <x:c r="B30" s="28" t="str">
        <x:v>data_status_peru</x:v>
      </x:c>
      <x:c r="C30" s="28" t="str">
        <x:v>object</x:v>
      </x:c>
      <x:c r="D30" s="28"/>
    </x:row>
    <x:row r="31">
      <x:c r="A31" s="28" t="str">
        <x:v>categories_multilevel_2020_2025.csv</x:v>
      </x:c>
      <x:c r="B31" s="28" t="str">
        <x:v>data_status_latam</x:v>
      </x:c>
      <x:c r="C31" s="28" t="str">
        <x:v>object</x:v>
      </x:c>
      <x:c r="D31" s="28"/>
    </x:row>
    <x:row r="32">
      <x:c r="A32" s="28" t="str">
        <x:v>categories_multilevel_2020_2025.csv</x:v>
      </x:c>
      <x:c r="B32" s="28" t="str">
        <x:v>data_status_world</x:v>
      </x:c>
      <x:c r="C32" s="28" t="str">
        <x:v>object</x:v>
      </x:c>
      <x:c r="D32" s="28"/>
    </x:row>
    <x:row r="33">
      <x:c r="A33" s="28" t="str">
        <x:v>scenario_trajectories_2025_2030.csv</x:v>
      </x:c>
      <x:c r="B33" s="28" t="str">
        <x:v>scenario_id</x:v>
      </x:c>
      <x:c r="C33" s="28" t="str">
        <x:v>object</x:v>
      </x:c>
      <x:c r="D33" s="28"/>
    </x:row>
    <x:row r="34">
      <x:c r="A34" s="28" t="str">
        <x:v>scenario_trajectories_2025_2030.csv</x:v>
      </x:c>
      <x:c r="B34" s="28" t="str">
        <x:v>scenario_name</x:v>
      </x:c>
      <x:c r="C34" s="28" t="str">
        <x:v>object</x:v>
      </x:c>
      <x:c r="D34" s="28"/>
    </x:row>
    <x:row r="35">
      <x:c r="A35" s="28" t="str">
        <x:v>scenario_trajectories_2025_2030.csv</x:v>
      </x:c>
      <x:c r="B35" s="28" t="str">
        <x:v>year</x:v>
      </x:c>
      <x:c r="C35" s="28" t="str">
        <x:v>int64</x:v>
      </x:c>
      <x:c r="D35" s="28"/>
    </x:row>
    <x:row r="36">
      <x:c r="A36" s="28" t="str">
        <x:v>scenario_trajectories_2025_2030.csv</x:v>
      </x:c>
      <x:c r="B36" s="28" t="str">
        <x:v>Proceso electoral y pluralismo</x:v>
      </x:c>
      <x:c r="C36" s="28" t="str">
        <x:v>float64</x:v>
      </x:c>
      <x:c r="D36" s="28"/>
    </x:row>
    <x:row r="37">
      <x:c r="A37" s="28" t="str">
        <x:v>scenario_trajectories_2025_2030.csv</x:v>
      </x:c>
      <x:c r="B37" s="28" t="str">
        <x:v>Funcionamiento del gobierno</x:v>
      </x:c>
      <x:c r="C37" s="28" t="str">
        <x:v>float64</x:v>
      </x:c>
      <x:c r="D37" s="28"/>
    </x:row>
    <x:row r="38">
      <x:c r="A38" s="28" t="str">
        <x:v>scenario_trajectories_2025_2030.csv</x:v>
      </x:c>
      <x:c r="B38" s="28" t="str">
        <x:v>Participación política</x:v>
      </x:c>
      <x:c r="C38" s="28" t="str">
        <x:v>float64</x:v>
      </x:c>
      <x:c r="D38" s="28"/>
    </x:row>
    <x:row r="39">
      <x:c r="A39" s="28" t="str">
        <x:v>scenario_trajectories_2025_2030.csv</x:v>
      </x:c>
      <x:c r="B39" s="28" t="str">
        <x:v>Cultura política</x:v>
      </x:c>
      <x:c r="C39" s="28" t="str">
        <x:v>float64</x:v>
      </x:c>
      <x:c r="D39" s="28"/>
    </x:row>
    <x:row r="40">
      <x:c r="A40" s="28" t="str">
        <x:v>scenario_trajectories_2025_2030.csv</x:v>
      </x:c>
      <x:c r="B40" s="28" t="str">
        <x:v>Libertades civiles</x:v>
      </x:c>
      <x:c r="C40" s="28" t="str">
        <x:v>float64</x:v>
      </x:c>
      <x:c r="D40" s="28"/>
    </x:row>
    <x:row r="41">
      <x:c r="A41" s="28" t="str">
        <x:v>scenario_trajectories_2025_2030.csv</x:v>
      </x:c>
      <x:c r="B41" s="28" t="str">
        <x:v>overall_score</x:v>
      </x:c>
      <x:c r="C41" s="28" t="str">
        <x:v>float64</x:v>
      </x:c>
      <x:c r="D41" s="28"/>
    </x:row>
    <x:row r="42">
      <x:c r="A42" s="28" t="str">
        <x:v>scenario_trajectories_2025_2030.csv</x:v>
      </x:c>
      <x:c r="B42" s="28" t="str">
        <x:v>phase</x:v>
      </x:c>
      <x:c r="C42" s="28" t="str">
        <x:v>object</x:v>
      </x:c>
      <x:c r="D42" s="28"/>
    </x:row>
    <x:row r="43">
      <x:c r="A43" s="28" t="str">
        <x:v>scenario_trajectories_2025_2030.csv</x:v>
      </x:c>
      <x:c r="B43" s="28" t="str">
        <x:v>regime_type</x:v>
      </x:c>
      <x:c r="C43" s="28" t="str">
        <x:v>object</x:v>
      </x:c>
      <x:c r="D43" s="28"/>
    </x:row>
    <x:row r="44">
      <x:c r="A44" s="28" t="str">
        <x:v>scenario_sensitivity_bands.csv</x:v>
      </x:c>
      <x:c r="B44" s="28" t="str">
        <x:v>scenario_id</x:v>
      </x:c>
      <x:c r="C44" s="28" t="str">
        <x:v>object</x:v>
      </x:c>
      <x:c r="D44" s="28"/>
    </x:row>
    <x:row r="45">
      <x:c r="A45" s="28" t="str">
        <x:v>scenario_sensitivity_bands.csv</x:v>
      </x:c>
      <x:c r="B45" s="28" t="str">
        <x:v>year</x:v>
      </x:c>
      <x:c r="C45" s="28" t="str">
        <x:v>int64</x:v>
      </x:c>
      <x:c r="D45" s="28"/>
    </x:row>
    <x:row r="46">
      <x:c r="A46" s="28" t="str">
        <x:v>scenario_sensitivity_bands.csv</x:v>
      </x:c>
      <x:c r="B46" s="28" t="str">
        <x:v>p10</x:v>
      </x:c>
      <x:c r="C46" s="28" t="str">
        <x:v>float64</x:v>
      </x:c>
      <x:c r="D46" s="28"/>
    </x:row>
    <x:row r="47">
      <x:c r="A47" s="28" t="str">
        <x:v>scenario_sensitivity_bands.csv</x:v>
      </x:c>
      <x:c r="B47" s="28" t="str">
        <x:v>p50</x:v>
      </x:c>
      <x:c r="C47" s="28" t="str">
        <x:v>float64</x:v>
      </x:c>
      <x:c r="D47" s="28"/>
    </x:row>
    <x:row r="48">
      <x:c r="A48" s="28" t="str">
        <x:v>scenario_sensitivity_bands.csv</x:v>
      </x:c>
      <x:c r="B48" s="28" t="str">
        <x:v>p90</x:v>
      </x:c>
      <x:c r="C48" s="28" t="str">
        <x:v>float64</x:v>
      </x:c>
      <x:c r="D48" s="28"/>
    </x:row>
    <x:row r="49">
      <x:c r="A49" s="28" t="str">
        <x:v>scenario_sensitivity_bands.csv</x:v>
      </x:c>
      <x:c r="B49" s="28" t="str">
        <x:v>n_sim</x:v>
      </x:c>
      <x:c r="C49" s="28" t="str">
        <x:v>int64</x:v>
      </x:c>
      <x:c r="D49" s="28"/>
    </x:row>
    <x:row r="50">
      <x:c r="A50" s="28" t="str">
        <x:v>scenario_sensitivity_bands.csv</x:v>
      </x:c>
      <x:c r="B50" s="28" t="str">
        <x:v>note</x:v>
      </x:c>
      <x:c r="C50" s="28" t="str">
        <x:v>object</x:v>
      </x:c>
      <x:c r="D50" s="28"/>
    </x:row>
  </x:sheetData>
  <x:pageMargins left="0.7" right="0.7" top="0.75" bottom="0.75" header="0.3" footer="0.3"/>
</x:worksheet>
</file>