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d1d82854cb748ec" /></Relationships>
</file>

<file path=xl/workbook.xml><?xml version="1.0" encoding="utf-8"?>
<x:workbook xmlns:x="http://schemas.openxmlformats.org/spreadsheetml/2006/main">
  <x:sheets>
    <x:sheet xmlns:r="http://schemas.openxmlformats.org/officeDocument/2006/relationships" name="Dashboard" sheetId="1" r:id="R0fda9712205146b5"/>
    <x:sheet xmlns:r="http://schemas.openxmlformats.org/officeDocument/2006/relationships" name="Serie_2020_2025" sheetId="2" r:id="Rd56e3003f5c64345"/>
    <x:sheet xmlns:r="http://schemas.openxmlformats.org/officeDocument/2006/relationships" name="Categorias_2020_2025" sheetId="3" r:id="Re7ac36d649e0495b"/>
    <x:sheet xmlns:r="http://schemas.openxmlformats.org/officeDocument/2006/relationships" name="Ancla_2025_Resumen" sheetId="4" r:id="R5363dce042184d9b"/>
    <x:sheet xmlns:r="http://schemas.openxmlformats.org/officeDocument/2006/relationships" name="Ancla_2025_Muestra" sheetId="5" r:id="R102df450b3874f3f"/>
    <x:sheet xmlns:r="http://schemas.openxmlformats.org/officeDocument/2006/relationships" name="Escenarios_2025_2030" sheetId="6" r:id="R3ca0aec77b654975"/>
    <x:sheet xmlns:r="http://schemas.openxmlformats.org/officeDocument/2006/relationships" name="Resumen_2030" sheetId="7" r:id="R40ff74a888ac4609"/>
    <x:sheet xmlns:r="http://schemas.openxmlformats.org/officeDocument/2006/relationships" name="Sensibilidad" sheetId="8" r:id="R1789a59af1d34121"/>
    <x:sheet xmlns:r="http://schemas.openxmlformats.org/officeDocument/2006/relationships" name="Sensibilidad_Categorias" sheetId="9" r:id="Ra0f9c71343024fcd"/>
    <x:sheet xmlns:r="http://schemas.openxmlformats.org/officeDocument/2006/relationships" name="Parametros" sheetId="10" r:id="R6dfb631a361a481c"/>
    <x:sheet xmlns:r="http://schemas.openxmlformats.org/officeDocument/2006/relationships" name="Evidencia_2026" sheetId="11" r:id="R32514adbaab24d48"/>
    <x:sheet xmlns:r="http://schemas.openxmlformats.org/officeDocument/2006/relationships" name="Estados_Dato" sheetId="12" r:id="R002d2aa50e87427e"/>
    <x:sheet xmlns:r="http://schemas.openxmlformats.org/officeDocument/2006/relationships" name="Metodologia" sheetId="13" r:id="R789456ec91d0490b"/>
    <x:sheet xmlns:r="http://schemas.openxmlformats.org/officeDocument/2006/relationships" name="Diccionario_Datos" sheetId="14" r:id="R85fb18c8084b484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
  </x:numFmts>
  <x:fonts count="16">
    <x:font>
      <x:sz val="11"/>
      <x:name val="Carlito"/>
    </x:font>
    <x:font>
      <x:b/>
      <x:sz val="16"/>
      <x:color rgb="FFFFFFFF"/>
      <x:name val="Carlito"/>
    </x:font>
    <x:font>
      <x:i/>
      <x:sz val="10"/>
      <x:color rgb="FF1F2937"/>
      <x:name val="Carlito"/>
    </x:font>
    <x:font>
      <x:b/>
      <x:sz val="10"/>
      <x:color rgb="FFFFFFFF"/>
      <x:name val="Carlito"/>
    </x:font>
    <x:font>
      <x:b/>
      <x:sz val="18"/>
      <x:color rgb="FF173F70"/>
      <x:name val="Carlito"/>
    </x:font>
    <x:font>
      <x:b/>
      <x:sz val="16"/>
      <x:color rgb="FF173F70"/>
      <x:name val="Carlito"/>
    </x:font>
    <x:font>
      <x:b/>
      <x:sz val="11"/>
      <x:color rgb="FF7C2D12"/>
      <x:name val="Carlito"/>
    </x:font>
    <x:font>
      <x:sz val="9"/>
      <x:color rgb="FF1F2937"/>
      <x:name val="Carlito"/>
    </x:font>
    <x:font>
      <x:b/>
      <x:sz val="16"/>
      <x:color rgb="FFFFFFFF"/>
      <x:name val="Aptos"/>
    </x:font>
    <x:font>
      <x:i/>
      <x:sz val="10"/>
      <x:color rgb="FF1F2937"/>
      <x:name val="Aptos"/>
    </x:font>
    <x:font>
      <x:sz val="11"/>
      <x:name val="Aptos"/>
    </x:font>
    <x:font>
      <x:b/>
      <x:sz val="10"/>
      <x:color rgb="FFFFFFFF"/>
      <x:name val="Aptos"/>
    </x:font>
    <x:font>
      <x:b/>
      <x:sz val="18"/>
      <x:color rgb="FF173F70"/>
      <x:name val="Aptos"/>
    </x:font>
    <x:font>
      <x:b/>
      <x:sz val="16"/>
      <x:color rgb="FF173F70"/>
      <x:name val="Aptos"/>
    </x:font>
    <x:font>
      <x:b/>
      <x:sz val="11"/>
      <x:color rgb="FF7C2D12"/>
      <x:name val="Aptos"/>
    </x:font>
    <x:font>
      <x:sz val="9"/>
      <x:color rgb="FF1F2937"/>
      <x:name val="Aptos"/>
    </x:font>
  </x:fonts>
  <x:fills count="9">
    <x:fill>
      <x:patternFill patternType="none"/>
    </x:fill>
    <x:fill>
      <x:patternFill patternType="gray125"/>
    </x:fill>
    <x:fill>
      <x:patternFill patternType="solid">
        <x:fgColor rgb="FF173F70"/>
      </x:patternFill>
    </x:fill>
    <x:fill>
      <x:patternFill patternType="solid">
        <x:fgColor rgb="FFEAF0F7"/>
      </x:patternFill>
    </x:fill>
    <x:fill>
      <x:patternFill patternType="solid">
        <x:fgColor rgb="FFA61B29"/>
      </x:patternFill>
    </x:fill>
    <x:fill>
      <x:patternFill patternType="solid">
        <x:fgColor rgb="FF1F2937"/>
      </x:patternFill>
    </x:fill>
    <x:fill>
      <x:patternFill patternType="solid">
        <x:fgColor rgb="FFFFFFFF"/>
      </x:patternFill>
    </x:fill>
    <x:fill>
      <x:patternFill patternType="solid">
        <x:fgColor rgb="FFFFF7ED"/>
      </x:patternFill>
    </x:fill>
    <x:fill>
      <x:patternFill patternType="solid">
        <x:fgColor rgb="FFF8FAFC"/>
      </x:patternFill>
    </x:fill>
  </x:fills>
  <x:borders count="12">
    <x:border/>
    <x:border>
      <x:left style="thin">
        <x:color rgb="FFFFFFFF"/>
      </x:left>
      <x:right style="thin">
        <x:color rgb="FFFFFFFF"/>
      </x:right>
      <x:top style="thin">
        <x:color rgb="FFFFFFFF"/>
      </x:top>
      <x:bottom style="thin">
        <x:color rgb="FFFFFFFF"/>
      </x:bottom>
    </x:border>
    <x:border>
      <x:left style="thin">
        <x:color rgb="FFCBD5E1"/>
      </x:left>
      <x:right style="thin">
        <x:color rgb="FFCBD5E1"/>
      </x:right>
      <x:top style="thin">
        <x:color rgb="FFCBD5E1"/>
      </x:top>
      <x:bottom style="thin">
        <x:color rgb="FFCBD5E1"/>
      </x:bottom>
    </x:border>
    <x:border>
      <x:left style="medium">
        <x:color rgb="FFE67E22"/>
      </x:left>
      <x:top style="medium">
        <x:color rgb="FFE67E22"/>
      </x:top>
    </x:border>
    <x:border>
      <x:top style="medium">
        <x:color rgb="FFE67E22"/>
      </x:top>
    </x:border>
    <x:border>
      <x:right style="medium">
        <x:color rgb="FFE67E22"/>
      </x:right>
      <x:top style="medium">
        <x:color rgb="FFE67E22"/>
      </x:top>
    </x:border>
    <x:border>
      <x:left style="medium">
        <x:color rgb="FFE67E22"/>
      </x:left>
    </x:border>
    <x:border>
      <x:right style="medium">
        <x:color rgb="FFE67E22"/>
      </x:right>
    </x:border>
    <x:border>
      <x:left style="medium">
        <x:color rgb="FFE67E22"/>
      </x:left>
      <x:bottom style="medium">
        <x:color rgb="FFE67E22"/>
      </x:bottom>
    </x:border>
    <x:border>
      <x:bottom style="medium">
        <x:color rgb="FFE67E22"/>
      </x:bottom>
    </x:border>
    <x:border>
      <x:right style="medium">
        <x:color rgb="FFE67E22"/>
      </x:right>
      <x:bottom style="medium">
        <x:color rgb="FFE67E22"/>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200" fontId="4" fillId="6" borderId="2" xfId="0" applyNumberFormat="1" applyFont="1" applyFill="1" applyBorder="1"/>
    <x:xf numFmtId="200" fontId="4" fillId="6" borderId="2" xfId="0" applyNumberFormat="1" applyFont="1" applyFill="1" applyBorder="1" applyAlignment="1">
      <x:alignment horizontal="center"/>
    </x:xf>
    <x:xf numFmtId="0" fontId="5" fillId="6" borderId="0" xfId="0" applyNumberFormat="1" applyFont="1" applyFill="1" applyBorder="1"/>
    <x:xf numFmtId="0" fontId="5" fillId="6" borderId="2" xfId="0" applyNumberFormat="1" applyFont="1" applyFill="1" applyBorder="1"/>
    <x:xf numFmtId="201" fontId="5" fillId="6" borderId="2" xfId="0" applyNumberFormat="1" applyFont="1" applyFill="1" applyBorder="1"/>
    <x:xf numFmtId="201" fontId="5" fillId="6" borderId="2" xfId="0" applyNumberFormat="1" applyFont="1" applyFill="1" applyBorder="1" applyAlignment="1">
      <x:alignment horizontal="center"/>
    </x:xf>
    <x:xf numFmtId="202" fontId="5" fillId="6" borderId="2" xfId="0" applyNumberFormat="1" applyFont="1" applyFill="1" applyBorder="1"/>
    <x:xf numFmtId="202" fontId="5" fillId="6" borderId="2"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10" xfId="0" applyNumberFormat="1" applyFont="1" applyFill="1" applyBorder="1"/>
    <x:xf numFmtId="0" fontId="6" fillId="7" borderId="3"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10" xfId="0" applyNumberFormat="1" applyFont="1" applyFill="1" applyBorder="1" applyAlignment="1">
      <x:alignment wrapText="1"/>
    </x:xf>
    <x:xf numFmtId="0" fontId="6" fillId="7" borderId="3" xfId="0" applyNumberFormat="1" applyFont="1" applyFill="1" applyBorder="1" applyAlignment="1">
      <x:alignment vertical="center" wrapText="1"/>
    </x:xf>
    <x:xf numFmtId="0" fontId="6" fillId="7" borderId="4" xfId="0" applyNumberFormat="1" applyFont="1" applyFill="1" applyBorder="1" applyAlignment="1">
      <x:alignment vertical="center" wrapText="1"/>
    </x:xf>
    <x:xf numFmtId="0" fontId="6" fillId="7" borderId="5"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7" xfId="0" applyNumberFormat="1" applyFont="1" applyFill="1" applyBorder="1" applyAlignment="1">
      <x:alignment vertical="center" wrapText="1"/>
    </x:xf>
    <x:xf numFmtId="0" fontId="6" fillId="7" borderId="8" xfId="0" applyNumberFormat="1" applyFont="1" applyFill="1" applyBorder="1" applyAlignment="1">
      <x:alignment vertical="center" wrapText="1"/>
    </x:xf>
    <x:xf numFmtId="0" fontId="6" fillId="7" borderId="9" xfId="0" applyNumberFormat="1" applyFont="1" applyFill="1" applyBorder="1" applyAlignment="1">
      <x:alignment vertical="center" wrapText="1"/>
    </x:xf>
    <x:xf numFmtId="0" fontId="6" fillId="7" borderId="10" xfId="0" applyNumberFormat="1" applyFont="1" applyFill="1" applyBorder="1" applyAlignment="1">
      <x:alignment vertical="center" wrapText="1"/>
    </x:xf>
    <x:xf numFmtId="0" fontId="7" fillId="0" borderId="0" xfId="0" applyNumberFormat="1" applyFont="1" applyFill="1" applyBorder="1"/>
    <x:xf numFmtId="0" fontId="7" fillId="0" borderId="11" xfId="0" applyNumberFormat="1" applyFont="1" applyFill="1" applyBorder="1"/>
    <x:xf numFmtId="0" fontId="7" fillId="0" borderId="11" xfId="0" applyNumberFormat="1" applyFont="1" applyFill="1" applyBorder="1" applyAlignment="1">
      <x:alignment wrapText="0"/>
    </x:xf>
    <x:xf numFmtId="0" fontId="7" fillId="0" borderId="11" xfId="0" applyNumberFormat="1" applyFont="1" applyFill="1" applyBorder="1" applyAlignment="1">
      <x:alignment vertical="top" wrapText="0"/>
    </x:xf>
    <x:xf numFmtId="0" fontId="7" fillId="8" borderId="11" xfId="0" applyNumberFormat="1" applyFont="1" applyFill="1" applyBorder="1" applyAlignment="1">
      <x:alignment vertical="top" wrapText="0"/>
    </x:xf>
    <x:xf numFmtId="201" fontId="7" fillId="8" borderId="11" xfId="0" applyNumberFormat="1" applyFont="1" applyFill="1" applyBorder="1" applyAlignment="1">
      <x:alignment vertical="top" wrapText="0"/>
    </x:xf>
    <x:xf numFmtId="201" fontId="7" fillId="0" borderId="11" xfId="0" applyNumberFormat="1" applyFont="1" applyFill="1" applyBorder="1" applyAlignment="1">
      <x:alignment vertical="top" wrapText="0"/>
    </x:xf>
    <x:xf numFmtId="200" fontId="7" fillId="8" borderId="11" xfId="0" applyNumberFormat="1" applyFont="1" applyFill="1" applyBorder="1" applyAlignment="1">
      <x:alignment vertical="top" wrapText="0"/>
    </x:xf>
    <x:xf numFmtId="200" fontId="7" fillId="0" borderId="11" xfId="0" applyNumberFormat="1" applyFont="1" applyFill="1" applyBorder="1" applyAlignment="1">
      <x:alignment vertical="top" wrapText="0"/>
    </x:xf>
    <x:xf numFmtId="0" fontId="8" fillId="2" borderId="0" xfId="0" applyNumberFormat="1" applyFont="1" applyFill="1" applyBorder="1" applyAlignment="1">
      <x:alignment vertical="center"/>
    </x:xf>
    <x:xf numFmtId="0" fontId="9" fillId="3" borderId="0" xfId="0" applyNumberFormat="1" applyFont="1" applyFill="1" applyBorder="1" applyAlignment="1">
      <x:alignment vertical="center" wrapText="1"/>
    </x:xf>
    <x:xf numFmtId="0" fontId="10" fillId="4" borderId="0" xfId="0" applyNumberFormat="1" applyFont="1" applyFill="1" applyBorder="1"/>
    <x:xf numFmtId="0" fontId="10" fillId="0" borderId="0" xfId="0" applyNumberFormat="1" applyFont="1" applyFill="1" applyBorder="1"/>
    <x:xf numFmtId="0" fontId="11" fillId="5" borderId="1" xfId="0" applyNumberFormat="1" applyFont="1" applyFill="1" applyBorder="1" applyAlignment="1">
      <x:alignment horizontal="center" vertical="center" wrapText="1"/>
    </x:xf>
    <x:xf numFmtId="200" fontId="12" fillId="6" borderId="2" xfId="0" applyNumberFormat="1" applyFont="1" applyFill="1" applyBorder="1" applyAlignment="1">
      <x:alignment horizontal="center"/>
    </x:xf>
    <x:xf numFmtId="201" fontId="13" fillId="6" borderId="2" xfId="0" applyNumberFormat="1" applyFont="1" applyFill="1" applyBorder="1" applyAlignment="1">
      <x:alignment horizontal="center"/>
    </x:xf>
    <x:xf numFmtId="202" fontId="13" fillId="6" borderId="2" xfId="0" applyNumberFormat="1" applyFont="1" applyFill="1" applyBorder="1" applyAlignment="1">
      <x:alignment horizontal="center"/>
    </x:xf>
    <x:xf numFmtId="0" fontId="14" fillId="7" borderId="3" xfId="0" applyNumberFormat="1" applyFont="1" applyFill="1" applyBorder="1" applyAlignment="1">
      <x:alignment vertical="center" wrapText="1"/>
    </x:xf>
    <x:xf numFmtId="0" fontId="14" fillId="7" borderId="4" xfId="0" applyNumberFormat="1" applyFont="1" applyFill="1" applyBorder="1" applyAlignment="1">
      <x:alignment vertical="center" wrapText="1"/>
    </x:xf>
    <x:xf numFmtId="0" fontId="14" fillId="7" borderId="5" xfId="0" applyNumberFormat="1" applyFont="1" applyFill="1" applyBorder="1" applyAlignment="1">
      <x:alignment vertical="center" wrapText="1"/>
    </x:xf>
    <x:xf numFmtId="0" fontId="14" fillId="7" borderId="6" xfId="0" applyNumberFormat="1" applyFont="1" applyFill="1" applyBorder="1" applyAlignment="1">
      <x:alignment vertical="center" wrapText="1"/>
    </x:xf>
    <x:xf numFmtId="0" fontId="14" fillId="7" borderId="0" xfId="0" applyNumberFormat="1" applyFont="1" applyFill="1" applyBorder="1" applyAlignment="1">
      <x:alignment vertical="center" wrapText="1"/>
    </x:xf>
    <x:xf numFmtId="0" fontId="14" fillId="7" borderId="7" xfId="0" applyNumberFormat="1" applyFont="1" applyFill="1" applyBorder="1" applyAlignment="1">
      <x:alignment vertical="center" wrapText="1"/>
    </x:xf>
    <x:xf numFmtId="0" fontId="14" fillId="7" borderId="8" xfId="0" applyNumberFormat="1" applyFont="1" applyFill="1" applyBorder="1" applyAlignment="1">
      <x:alignment vertical="center" wrapText="1"/>
    </x:xf>
    <x:xf numFmtId="0" fontId="14" fillId="7" borderId="9" xfId="0" applyNumberFormat="1" applyFont="1" applyFill="1" applyBorder="1" applyAlignment="1">
      <x:alignment vertical="center" wrapText="1"/>
    </x:xf>
    <x:xf numFmtId="0" fontId="14" fillId="7" borderId="10" xfId="0" applyNumberFormat="1" applyFont="1" applyFill="1" applyBorder="1" applyAlignment="1">
      <x:alignment vertical="center" wrapText="1"/>
    </x:xf>
    <x:xf numFmtId="0" fontId="15" fillId="8" borderId="11" xfId="0" applyNumberFormat="1" applyFont="1" applyFill="1" applyBorder="1" applyAlignment="1">
      <x:alignment vertical="top" wrapText="0"/>
    </x:xf>
    <x:xf numFmtId="201" fontId="15" fillId="8" borderId="11" xfId="0" applyNumberFormat="1" applyFont="1" applyFill="1" applyBorder="1" applyAlignment="1">
      <x:alignment vertical="top" wrapText="0"/>
    </x:xf>
    <x:xf numFmtId="0" fontId="15" fillId="0" borderId="11" xfId="0" applyNumberFormat="1" applyFont="1" applyFill="1" applyBorder="1" applyAlignment="1">
      <x:alignment vertical="top" wrapText="0"/>
    </x:xf>
    <x:xf numFmtId="201" fontId="15" fillId="0" borderId="11" xfId="0" applyNumberFormat="1" applyFont="1" applyFill="1" applyBorder="1" applyAlignment="1">
      <x:alignment vertical="top" wrapText="0"/>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11" xfId="0" applyNumberFormat="1" applyFont="1" applyFill="1" applyBorder="1">
      <x:extLst>
        <x:ext uri="{C7286773-470A-42A8-94C5-96B5CB345126}">
          <xfpb:xfComplement xmlns:xfpb="http://schemas.microsoft.com/office/spreadsheetml/2022/featurepropertybag" i="0"/>
        </x:ext>
      </x:extLst>
    </x:xf>
    <x:xf numFmtId="0" fontId="7" fillId="0" borderId="11" xfId="0" applyNumberFormat="1" applyFont="1" applyFill="1" applyBorder="1" applyAlignment="1">
      <x:alignment wrapText="0"/>
      <x:extLst>
        <x:ext uri="{C7286773-470A-42A8-94C5-96B5CB345126}">
          <xfpb:xfComplement xmlns:xfpb="http://schemas.microsoft.com/office/spreadsheetml/2022/featurepropertybag" i="0"/>
        </x:ext>
      </x:extLst>
    </x:xf>
    <x:xf numFmtId="0" fontId="7" fillId="0" borderId="1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7" fillId="8" borderId="11" xfId="0" applyNumberFormat="1" applyFont="1" applyFill="1" applyBorder="1" applyAlignment="1">
      <x:alignment vertical="top" wrapText="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cba8e545734407" /><Relationship Type="http://schemas.openxmlformats.org/officeDocument/2006/relationships/theme" Target="/xl/theme/theme1.xml" Id="R0b91677e4c4a49c3" /><Relationship Type="http://schemas.microsoft.com/office/2022/11/relationships/FeaturePropertyBag" Target="/xl/featurePropertyBag/featurePropertyBag.xml" Id="Rd612e27add35414e" /><Relationship Type="http://schemas.openxmlformats.org/officeDocument/2006/relationships/sharedStrings" Target="/xl/sharedStrings.xml" Id="R77c09c958dcf4b8c" /><Relationship Type="http://schemas.openxmlformats.org/officeDocument/2006/relationships/worksheet" Target="/xl/worksheets/sheet1.xml" Id="R0fda9712205146b5" /><Relationship Type="http://schemas.openxmlformats.org/officeDocument/2006/relationships/worksheet" Target="/xl/worksheets/sheet2.xml" Id="Rd56e3003f5c64345" /><Relationship Type="http://schemas.openxmlformats.org/officeDocument/2006/relationships/worksheet" Target="/xl/worksheets/sheet3.xml" Id="Re7ac36d649e0495b" /><Relationship Type="http://schemas.openxmlformats.org/officeDocument/2006/relationships/worksheet" Target="/xl/worksheets/sheet4.xml" Id="R5363dce042184d9b" /><Relationship Type="http://schemas.openxmlformats.org/officeDocument/2006/relationships/worksheet" Target="/xl/worksheets/sheet5.xml" Id="R102df450b3874f3f" /><Relationship Type="http://schemas.openxmlformats.org/officeDocument/2006/relationships/worksheet" Target="/xl/worksheets/sheet6.xml" Id="R3ca0aec77b654975" /><Relationship Type="http://schemas.openxmlformats.org/officeDocument/2006/relationships/worksheet" Target="/xl/worksheets/sheet7.xml" Id="R40ff74a888ac4609" /><Relationship Type="http://schemas.openxmlformats.org/officeDocument/2006/relationships/worksheet" Target="/xl/worksheets/sheet8.xml" Id="R1789a59af1d34121" /><Relationship Type="http://schemas.openxmlformats.org/officeDocument/2006/relationships/worksheet" Target="/xl/worksheets/sheet9.xml" Id="Ra0f9c71343024fcd" /><Relationship Type="http://schemas.openxmlformats.org/officeDocument/2006/relationships/worksheet" Target="/xl/worksheets/sheet10.xml" Id="R6dfb631a361a481c" /><Relationship Type="http://schemas.openxmlformats.org/officeDocument/2006/relationships/worksheet" Target="/xl/worksheets/sheet11.xml" Id="R32514adbaab24d48" /><Relationship Type="http://schemas.openxmlformats.org/officeDocument/2006/relationships/worksheet" Target="/xl/worksheets/sheet12.xml" Id="R002d2aa50e87427e" /><Relationship Type="http://schemas.openxmlformats.org/officeDocument/2006/relationships/worksheet" Target="/xl/worksheets/sheet13.xml" Id="R789456ec91d0490b" /><Relationship Type="http://schemas.openxmlformats.org/officeDocument/2006/relationships/worksheet" Target="/xl/worksheets/sheet14.xml" Id="R85fb18c8084b484a" /><Relationship Type="http://schemas.microsoft.com/office/2017/10/relationships/person" Target="/xl/persons/person.xml" Id="Race2c165f89a493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f80c33be1f4418e" /></Relationships>
</file>

<file path=xl/drawings/_rels/drawing2.xml.rels>&#65279;<?xml version="1.0" encoding="utf-8"?><Relationships xmlns="http://schemas.openxmlformats.org/package/2006/relationships"><Relationship Type="http://schemas.openxmlformats.org/officeDocument/2006/relationships/chart" Target="/xl/drawings/charts/chart2.xml" Id="Ra136498ebafd45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Tres trayectorias 2025–2030</a:t>
            </a:r>
          </a:p>
        </c:rich>
      </c:tx>
      <c:overlay val="0"/>
    </c:title>
    <c:plotArea>
      <c:lineChart>
        <c:grouping val="standard"/>
        <c:varyColors val="0"/>
        <c:ser>
          <c:idx val="0"/>
          <c:order val="0"/>
          <c:tx>
            <c:v>Recuperación institucional</c:v>
          </c:tx>
          <c:marker>
            <c:symbol val="none"/>
          </c:marker>
          <c:cat>
            <c:strRef>
              <c:f>'Dashboard'!$A$17:$A$22</c:f>
              <c:strCache>
                <c:ptCount val="0"/>
              </c:strCache>
            </c:strRef>
          </c:cat>
          <c:val>
            <c:numRef>
              <c:f>'Dashboard'!$B$17:$B$22</c:f>
              <c:numCache>
                <c:formatCode>0.000</c:formatCode>
                <c:ptCount val="0"/>
              </c:numCache>
            </c:numRef>
          </c:val>
          <c:smooth val="0"/>
        </c:ser>
        <c:ser>
          <c:idx val="1"/>
          <c:order val="1"/>
          <c:tx>
            <c:v>Continuidad híbrida</c:v>
          </c:tx>
          <c:marker>
            <c:symbol val="none"/>
          </c:marker>
          <c:cat>
            <c:strRef>
              <c:f>'Dashboard'!$A$17:$A$22</c:f>
              <c:strCache>
                <c:ptCount val="0"/>
              </c:strCache>
            </c:strRef>
          </c:cat>
          <c:val>
            <c:numRef>
              <c:f>'Dashboard'!$C$17:$C$22</c:f>
              <c:numCache>
                <c:formatCode>0.000</c:formatCode>
                <c:ptCount val="0"/>
              </c:numCache>
            </c:numRef>
          </c:val>
          <c:smooth val="0"/>
        </c:ser>
        <c:ser>
          <c:idx val="2"/>
          <c:order val="2"/>
          <c:tx>
            <c:v>Deriva restrictiva</c:v>
          </c:tx>
          <c:marker>
            <c:symbol val="none"/>
          </c:marker>
          <c:cat>
            <c:strRef>
              <c:f>'Dashboard'!$A$17:$A$22</c:f>
              <c:strCache>
                <c:ptCount val="0"/>
              </c:strCache>
            </c:strRef>
          </c:cat>
          <c:val>
            <c:numRef>
              <c:f>'Dashboard'!$D$17:$D$22</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6.4"/>
          <c:min val="5.1"/>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Índice de democracia 2020–2025</a:t>
            </a:r>
          </a:p>
        </c:rich>
      </c:tx>
      <c:overlay val="0"/>
    </c:title>
    <c:plotArea>
      <c:lineChart>
        <c:grouping val="standard"/>
        <c:varyColors val="0"/>
        <c:ser>
          <c:idx val="0"/>
          <c:order val="0"/>
          <c:tx>
            <c:v>peru_score</c:v>
          </c:tx>
          <c:marker>
            <c:symbol val="none"/>
          </c:marker>
          <c:cat>
            <c:strRef>
              <c:f>'Serie_2020_2025'!$A$6:$A$11</c:f>
              <c:strCache>
                <c:ptCount val="0"/>
              </c:strCache>
            </c:strRef>
          </c:cat>
          <c:val>
            <c:numRef>
              <c:f>'Serie_2020_2025'!$B$6:$B$11</c:f>
              <c:numCache>
                <c:formatCode>0.000</c:formatCode>
                <c:ptCount val="0"/>
              </c:numCache>
            </c:numRef>
          </c:val>
          <c:smooth val="0"/>
        </c:ser>
        <c:ser>
          <c:idx val="1"/>
          <c:order val="1"/>
          <c:tx>
            <c:v>latin_america_score</c:v>
          </c:tx>
          <c:marker>
            <c:symbol val="none"/>
          </c:marker>
          <c:cat>
            <c:strRef>
              <c:f>'Serie_2020_2025'!$A$6:$A$11</c:f>
              <c:strCache>
                <c:ptCount val="0"/>
              </c:strCache>
            </c:strRef>
          </c:cat>
          <c:val>
            <c:numRef>
              <c:f>'Serie_2020_2025'!$C$6:$C$11</c:f>
              <c:numCache>
                <c:formatCode>0.000</c:formatCode>
                <c:ptCount val="0"/>
              </c:numCache>
            </c:numRef>
          </c:val>
          <c:smooth val="0"/>
        </c:ser>
        <c:ser>
          <c:idx val="2"/>
          <c:order val="2"/>
          <c:tx>
            <c:v>world_score</c:v>
          </c:tx>
          <c:marker>
            <c:symbol val="none"/>
          </c:marker>
          <c:cat>
            <c:strRef>
              <c:f>'Serie_2020_2025'!$A$6:$A$11</c:f>
              <c:strCache>
                <c:ptCount val="0"/>
              </c:strCache>
            </c:strRef>
          </c:cat>
          <c:val>
            <c:numRef>
              <c:f>'Serie_2020_2025'!$D$6:$D$11</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6.7"/>
          <c:min val="5"/>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80c33be1f4418e"/>
        </a:graphicData>
      </a:graphic>
    </xdr:graphicFrame>
    <xdr:clientData/>
  </xdr:twoCellAnchor>
</xdr:wsDr>
</file>

<file path=xl/drawings/drawing2.xml><?xml version="1.0" encoding="utf-8"?>
<xdr:wsDr xmlns:xdr="http://schemas.openxmlformats.org/drawingml/2006/spreadsheetDrawing">
  <xdr:twoCellAnchor>
    <xdr:from>
      <xdr:col>17</xdr:col>
      <xdr:colOff>0</xdr:colOff>
      <xdr:row>4</xdr:row>
      <xdr:rowOff>0</xdr:rowOff>
    </xdr:from>
    <xdr:to>
      <xdr:col>30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36498ebafd454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Magdiel Torres Vanegas" id="{26D72DC4-A76C-4DEB-98C3-8E5B4C98B813}"/>
</xltc:personList>
</file>

<file path=xl/tables/table1.xml><?xml version="1.0" encoding="utf-8"?>
<x:table xmlns:x="http://schemas.openxmlformats.org/spreadsheetml/2006/main" id="1" name="SerieOverall" displayName="SerieOverall" ref="A5:P11" headerRowCount="1" totalsRowCount="0" totalsRowShown="0">
  <x:tableColumns count="16">
    <x:tableColumn id="1" name="year"/>
    <x:tableColumn id="2" name="peru_score"/>
    <x:tableColumn id="3" name="latin_america_score"/>
    <x:tableColumn id="4" name="world_score"/>
    <x:tableColumn id="5" name="peru_regime_type"/>
    <x:tableColumn id="6" name="peru_minus_latam"/>
    <x:tableColumn id="7" name="peru_minus_world"/>
    <x:tableColumn id="8" name="latam_minus_world"/>
    <x:tableColumn id="9" name="peru_pct_change_vs_2020"/>
    <x:tableColumn id="10" name="latin_america_pct_change_vs_2020"/>
    <x:tableColumn id="11" name="world_pct_change_vs_2020"/>
    <x:tableColumn id="12" name="source_peru"/>
    <x:tableColumn id="13" name="source_latam"/>
    <x:tableColumn id="14" name="source_world"/>
    <x:tableColumn id="15" name="peru_rank"/>
    <x:tableColumn id="16" name="data_status_peru"/>
  </x:tableColumns>
  <x:tableStyleInfo name="TableStyleMedium2" showFirstColumn="0" showLastColumn="0" showRowStripes="1" showColumnStripes="0"/>
</x:table>
</file>

<file path=xl/tables/table2.xml><?xml version="1.0" encoding="utf-8"?>
<x:table xmlns:x="http://schemas.openxmlformats.org/spreadsheetml/2006/main" id="2" name="Categorias" displayName="Categorias" ref="A5:O35" headerRowCount="1" totalsRowCount="0" totalsRowShown="0">
  <x:tableColumns count="15">
    <x:tableColumn id="1" name="year"/>
    <x:tableColumn id="2" name="category"/>
    <x:tableColumn id="3" name="category_full"/>
    <x:tableColumn id="4" name="peru_score"/>
    <x:tableColumn id="5" name="latin_america_score"/>
    <x:tableColumn id="6" name="world_score"/>
    <x:tableColumn id="7" name="peru_minus_latam"/>
    <x:tableColumn id="8" name="peru_minus_world"/>
    <x:tableColumn id="9" name="latam_minus_world"/>
    <x:tableColumn id="10" name="source_peru"/>
    <x:tableColumn id="11" name="source_latam"/>
    <x:tableColumn id="12" name="source_world"/>
    <x:tableColumn id="13" name="data_status_peru"/>
    <x:tableColumn id="14" name="data_status_latam"/>
    <x:tableColumn id="15" name="data_status_world"/>
  </x:tableColumns>
  <x:tableStyleInfo name="TableStyleMedium2" showFirstColumn="0" showLastColumn="0" showRowStripes="1" showColumnStripes="0"/>
</x:table>
</file>

<file path=xl/tables/table3.xml><?xml version="1.0" encoding="utf-8"?>
<x:table xmlns:x="http://schemas.openxmlformats.org/spreadsheetml/2006/main" id="3" name="AnclaResumen" displayName="AnclaResumen" ref="A5:M10" headerRowCount="1" totalsRowCount="0" totalsRowShown="0">
  <x:tableColumns count="13">
    <x:tableColumn id="1" name="category_full"/>
    <x:tableColumn id="2" name="category_es"/>
    <x:tableColumn id="3" name="peru_2024_official_source_observed"/>
    <x:tableColumn id="4" name="central_anchor_2025"/>
    <x:tableColumn id="5" name="anchor_sigma"/>
    <x:tableColumn id="6" name="admissible_low"/>
    <x:tableColumn id="7" name="p10"/>
    <x:tableColumn id="8" name="p50"/>
    <x:tableColumn id="9" name="p90"/>
    <x:tableColumn id="10" name="admissible_high"/>
    <x:tableColumn id="11" name="overall_constraint"/>
    <x:tableColumn id="12" name="data_status"/>
    <x:tableColumn id="13" name="interpretation"/>
  </x:tableColumns>
  <x:tableStyleInfo name="TableStyleMedium2" showFirstColumn="0" showLastColumn="0" showRowStripes="1" showColumnStripes="0"/>
</x:table>
</file>

<file path=xl/tables/table4.xml><?xml version="1.0" encoding="utf-8"?>
<x:table xmlns:x="http://schemas.openxmlformats.org/spreadsheetml/2006/main" id="4" name="AnclaMuestra" displayName="AnclaMuestra" ref="A5:H505" headerRowCount="1" totalsRowCount="0" totalsRowShown="0">
  <x:tableColumns count="8">
    <x:tableColumn id="1" name="sample_id"/>
    <x:tableColumn id="2" name="Proceso electoral y pluralismo"/>
    <x:tableColumn id="3" name="Funcionamiento del gobierno"/>
    <x:tableColumn id="4" name="Participación política"/>
    <x:tableColumn id="5" name="Cultura política"/>
    <x:tableColumn id="6" name="Libertades civiles"/>
    <x:tableColumn id="7" name="overall_score"/>
    <x:tableColumn id="8" name="data_status"/>
  </x:tableColumns>
  <x:tableStyleInfo name="TableStyleMedium2" showFirstColumn="0" showLastColumn="0" showRowStripes="1" showColumnStripes="0"/>
</x:table>
</file>

<file path=xl/tables/table5.xml><?xml version="1.0" encoding="utf-8"?>
<x:table xmlns:x="http://schemas.openxmlformats.org/spreadsheetml/2006/main" id="5" name="Escenarios" displayName="Escenarios" ref="A5:L23" headerRowCount="1" totalsRowCount="0" totalsRowShown="0">
  <x:tableColumns count="12">
    <x:tableColumn id="1" name="scenario_id"/>
    <x:tableColumn id="2" name="scenario_name"/>
    <x:tableColumn id="3" name="year"/>
    <x:tableColumn id="4" name="Proceso electoral y pluralismo"/>
    <x:tableColumn id="5" name="Funcionamiento del gobierno"/>
    <x:tableColumn id="6" name="Participación política"/>
    <x:tableColumn id="7" name="Cultura política"/>
    <x:tableColumn id="8" name="Libertades civiles"/>
    <x:tableColumn id="9" name="overall_score"/>
    <x:tableColumn id="10" name="phase"/>
    <x:tableColumn id="11" name="data_status"/>
    <x:tableColumn id="12" name="regime_type"/>
  </x:tableColumns>
  <x:tableStyleInfo name="TableStyleMedium2" showFirstColumn="0" showLastColumn="0" showRowStripes="1" showColumnStripes="0"/>
</x:table>
</file>

<file path=xl/tables/table6.xml><?xml version="1.0" encoding="utf-8"?>
<x:table xmlns:x="http://schemas.openxmlformats.org/spreadsheetml/2006/main" id="6" name="Resumen2030" displayName="Resumen2030" ref="A5:M8" headerRowCount="1" totalsRowCount="0" totalsRowShown="0">
  <x:tableColumns count="13">
    <x:tableColumn id="1" name="scenario_id"/>
    <x:tableColumn id="2" name="scenario_name"/>
    <x:tableColumn id="3" name="scenario_type"/>
    <x:tableColumn id="4" name="description"/>
    <x:tableColumn id="5" name="score_2026"/>
    <x:tableColumn id="6" name="score_2030"/>
    <x:tableColumn id="7" name="regime_2030"/>
    <x:tableColumn id="8" name="triggers"/>
    <x:tableColumn id="9" name="warnings"/>
    <x:tableColumn id="10" name="p10_2030"/>
    <x:tableColumn id="11" name="p50_2030"/>
    <x:tableColumn id="12" name="p90_2030"/>
    <x:tableColumn id="13" name="classification_basis"/>
  </x:tableColumns>
  <x:tableStyleInfo name="TableStyleMedium2" showFirstColumn="0" showLastColumn="0" showRowStripes="1" showColumnStripes="0"/>
</x:table>
</file>

<file path=xl/tables/table7.xml><?xml version="1.0" encoding="utf-8"?>
<x:table xmlns:x="http://schemas.openxmlformats.org/spreadsheetml/2006/main" id="7" name="Sensibilidad" displayName="Sensibilidad" ref="A5:H23" headerRowCount="1" totalsRowCount="0" totalsRowShown="0">
  <x:tableColumns count="8">
    <x:tableColumn id="1" name="scenario_id"/>
    <x:tableColumn id="2" name="year"/>
    <x:tableColumn id="3" name="p10"/>
    <x:tableColumn id="4" name="p50"/>
    <x:tableColumn id="5" name="p90"/>
    <x:tableColumn id="6" name="n_sim"/>
    <x:tableColumn id="7" name="uncertainty_layers"/>
    <x:tableColumn id="8" name="note"/>
  </x:tableColumns>
  <x:tableStyleInfo name="TableStyleMedium2" showFirstColumn="0" showLastColumn="0" showRowStripes="1" showColumnStripes="0"/>
</x:table>
</file>

<file path=xl/tables/table8.xml><?xml version="1.0" encoding="utf-8"?>
<x:table xmlns:x="http://schemas.openxmlformats.org/spreadsheetml/2006/main" id="8" name="SensibilidadCategorias" displayName="SensibilidadCategorias" ref="A5:H95" headerRowCount="1" totalsRowCount="0" totalsRowShown="0">
  <x:tableColumns count="8">
    <x:tableColumn id="1" name="scenario_id"/>
    <x:tableColumn id="2" name="year"/>
    <x:tableColumn id="3" name="category_full"/>
    <x:tableColumn id="4" name="category_es"/>
    <x:tableColumn id="5" name="p10"/>
    <x:tableColumn id="6" name="p50"/>
    <x:tableColumn id="7" name="p90"/>
    <x:tableColumn id="8" name="n_sim"/>
  </x:tableColumns>
  <x:tableStyleInfo name="TableStyleMedium2" showFirstColumn="0" showLastColumn="0" showRowStripes="1" showColumnStripes="0"/>
</x:table>
</file>

<file path=xl/tables/table9.xml><?xml version="1.0" encoding="utf-8"?>
<x:table xmlns:x="http://schemas.openxmlformats.org/spreadsheetml/2006/main" id="9" name="Parametros" displayName="Parametros" ref="A5:N35" headerRowCount="1" totalsRowCount="0" totalsRowShown="0">
  <x:tableColumns count="14">
    <x:tableColumn id="1" name="scenario_id"/>
    <x:tableColumn id="2" name="scenario_name"/>
    <x:tableColumn id="3" name="category_full"/>
    <x:tableColumn id="4" name="category_es"/>
    <x:tableColumn id="5" name="parameter"/>
    <x:tableColumn id="6" name="central"/>
    <x:tableColumn id="7" name="plausible_low"/>
    <x:tableColumn id="8" name="plausible_high"/>
    <x:tableColumn id="9" name="evidence_basis"/>
    <x:tableColumn id="10" name="signal"/>
    <x:tableColumn id="11" name="translation_rule"/>
    <x:tableColumn id="12" name="decision_author"/>
    <x:tableColumn id="13" name="decision_date"/>
    <x:tableColumn id="14" name="parameter_status"/>
  </x:tableColumns>
  <x:tableStyleInfo name="TableStyleMedium2" showFirstColumn="0" showLastColumn="0" showRowStripes="1" showColumnStripes="0"/>
</x:table>
</file>

<file path=xl/tables/table10.xml><?xml version="1.0" encoding="utf-8"?>
<x:table xmlns:x="http://schemas.openxmlformats.org/spreadsheetml/2006/main" id="10" name="Evidencia" displayName="Evidencia" ref="A5:J14" headerRowCount="1" totalsRowCount="0" totalsRowShown="0">
  <x:tableColumns count="10">
    <x:tableColumn id="1" name="id"/>
    <x:tableColumn id="2" name="date"/>
    <x:tableColumn id="3" name="type"/>
    <x:tableColumn id="4" name="source"/>
    <x:tableColumn id="5" name="title"/>
    <x:tableColumn id="6" name="signal"/>
    <x:tableColumn id="7" name="model_dimensions"/>
    <x:tableColumn id="8" name="url"/>
    <x:tableColumn id="9" name="source_priority"/>
    <x:tableColumn id="10" name="computational_use"/>
  </x:tableColumns>
  <x:tableStyleInfo name="TableStyleMedium2" showFirstColumn="0" showLastColumn="0" showRowStripes="1" showColumnStripes="0"/>
</x:table>
</file>

<file path=xl/tables/table11.xml><?xml version="1.0" encoding="utf-8"?>
<x:table xmlns:x="http://schemas.openxmlformats.org/spreadsheetml/2006/main" id="11" name="EstadosDato" displayName="EstadosDato" ref="A5:D11" headerRowCount="1" totalsRowCount="0" totalsRowShown="0">
  <x:tableColumns count="4">
    <x:tableColumn id="1" name="status_id"/>
    <x:tableColumn id="2" name="label_es"/>
    <x:tableColumn id="3" name="definition"/>
    <x:tableColumn id="4" name="allowed_use"/>
  </x:tableColumns>
  <x:tableStyleInfo name="TableStyleMedium2" showFirstColumn="0" showLastColumn="0" showRowStripes="1" showColumnStripes="0"/>
</x:table>
</file>

<file path=xl/tables/table12.xml><?xml version="1.0" encoding="utf-8"?>
<x:table xmlns:x="http://schemas.openxmlformats.org/spreadsheetml/2006/main" id="12" name="FormulasModelo" displayName="FormulasModelo" ref="A5:D14" headerRowCount="1" totalsRowCount="0" totalsRowShown="0">
  <x:tableColumns count="4">
    <x:tableColumn id="1" name="formula_id"/>
    <x:tableColumn id="2" name="component"/>
    <x:tableColumn id="3" name="formula"/>
    <x:tableColumn id="4" name="interpretation"/>
  </x:tableColumns>
  <x:tableStyleInfo name="TableStyleMedium2" showFirstColumn="0" showLastColumn="0" showRowStripes="1" showColumnStripes="0"/>
</x:table>
</file>

<file path=xl/tables/table13.xml><?xml version="1.0" encoding="utf-8"?>
<x:table xmlns:x="http://schemas.openxmlformats.org/spreadsheetml/2006/main" id="13" name="Diccionario" displayName="Diccionario" ref="A5:D152" headerRowCount="1" totalsRowCount="0" totalsRowShown="0">
  <x:tableColumns count="4">
    <x:tableColumn id="1" name="file"/>
    <x:tableColumn id="2" name="field"/>
    <x:tableColumn id="3" name="dtype"/>
    <x:tableColumn id="4"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9f4566a2e5c426c" /></Relationships>
</file>

<file path=xl/worksheets/_rels/sheet2.xml.rels>&#65279;<?xml version="1.0" encoding="utf-8"?><Relationships xmlns="http://schemas.openxmlformats.org/package/2006/relationships"><Relationship Type="http://schemas.openxmlformats.org/officeDocument/2006/relationships/drawing" Target="/xl/drawings/drawing2.xml" Id="R565be84f31e645b3" /><Relationship Type="http://schemas.openxmlformats.org/officeDocument/2006/relationships/table" Target="/xl/tables/table1.xml" Id="Reaa6f16679f24556" /></Relationships>
</file>

<file path=xl/worksheets/_rels/sheet3.xml.rels>&#65279;<?xml version="1.0" encoding="utf-8"?><Relationships xmlns="http://schemas.openxmlformats.org/package/2006/relationships"><Relationship Type="http://schemas.openxmlformats.org/officeDocument/2006/relationships/table" Target="/xl/tables/table2.xml" Id="R10f39153e93c4717" /></Relationships>
</file>

<file path=xl/worksheets/_rels/sheet4.xml.rels>&#65279;<?xml version="1.0" encoding="utf-8"?><Relationships xmlns="http://schemas.openxmlformats.org/package/2006/relationships"><Relationship Type="http://schemas.openxmlformats.org/officeDocument/2006/relationships/table" Target="/xl/tables/table3.xml" Id="Rabdb367cac784707" /></Relationships>
</file>

<file path=xl/worksheets/_rels/sheet5.xml.rels>&#65279;<?xml version="1.0" encoding="utf-8"?><Relationships xmlns="http://schemas.openxmlformats.org/package/2006/relationships"><Relationship Type="http://schemas.openxmlformats.org/officeDocument/2006/relationships/table" Target="/xl/tables/table4.xml" Id="Refc0fe7e0c20476d" /></Relationships>
</file>

<file path=xl/worksheets/_rels/sheet6.xml.rels>&#65279;<?xml version="1.0" encoding="utf-8"?><Relationships xmlns="http://schemas.openxmlformats.org/package/2006/relationships"><Relationship Type="http://schemas.openxmlformats.org/officeDocument/2006/relationships/table" Target="/xl/tables/table5.xml" Id="R63377639a0594280" /></Relationships>
</file>

<file path=xl/worksheets/_rels/sheet7.xml.rels>&#65279;<?xml version="1.0" encoding="utf-8"?><Relationships xmlns="http://schemas.openxmlformats.org/package/2006/relationships"><Relationship Type="http://schemas.openxmlformats.org/officeDocument/2006/relationships/table" Target="/xl/tables/table6.xml" Id="R2cb201c6ee07412e" /></Relationships>
</file>

<file path=xl/worksheets/_rels/sheet8.xml.rels>&#65279;<?xml version="1.0" encoding="utf-8"?><Relationships xmlns="http://schemas.openxmlformats.org/package/2006/relationships"><Relationship Type="http://schemas.openxmlformats.org/officeDocument/2006/relationships/table" Target="/xl/tables/table7.xml" Id="R82e2b75f381a46f9" /></Relationships>
</file>

<file path=xl/worksheets/_rels/sheet9.xml.rels>&#65279;<?xml version="1.0" encoding="utf-8"?><Relationships xmlns="http://schemas.openxmlformats.org/package/2006/relationships"><Relationship Type="http://schemas.openxmlformats.org/officeDocument/2006/relationships/table" Target="/xl/tables/table8.xml" Id="R5fd7902a3ab04ced" /></Relationships>
</file>

<file path=xl/worksheets/_rels/sheet10.xml.rels>&#65279;<?xml version="1.0" encoding="utf-8"?><Relationships xmlns="http://schemas.openxmlformats.org/package/2006/relationships"><Relationship Type="http://schemas.openxmlformats.org/officeDocument/2006/relationships/table" Target="/xl/tables/table9.xml" Id="R0e418f85a5a240b0" /></Relationships>
</file>

<file path=xl/worksheets/_rels/sheet11.xml.rels>&#65279;<?xml version="1.0" encoding="utf-8"?><Relationships xmlns="http://schemas.openxmlformats.org/package/2006/relationships"><Relationship Type="http://schemas.openxmlformats.org/officeDocument/2006/relationships/table" Target="/xl/tables/table10.xml" Id="Rc5804be8a7504499" /></Relationships>
</file>

<file path=xl/worksheets/_rels/sheet12.xml.rels>&#65279;<?xml version="1.0" encoding="utf-8"?><Relationships xmlns="http://schemas.openxmlformats.org/package/2006/relationships"><Relationship Type="http://schemas.openxmlformats.org/officeDocument/2006/relationships/table" Target="/xl/tables/table11.xml" Id="Rfaffc6717c384db7" /></Relationships>
</file>

<file path=xl/worksheets/_rels/sheet13.xml.rels>&#65279;<?xml version="1.0" encoding="utf-8"?><Relationships xmlns="http://schemas.openxmlformats.org/package/2006/relationships"><Relationship Type="http://schemas.openxmlformats.org/officeDocument/2006/relationships/table" Target="/xl/tables/table12.xml" Id="R6f7b627f47e4414a" /></Relationships>
</file>

<file path=xl/worksheets/_rels/sheet14.xml.rels>&#65279;<?xml version="1.0" encoding="utf-8"?><Relationships xmlns="http://schemas.openxmlformats.org/package/2006/relationships"><Relationship Type="http://schemas.openxmlformats.org/officeDocument/2006/relationships/table" Target="/xl/tables/table13.xml" Id="R0fb7c8b4ce0540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ht="30" customHeight="1">
      <x:c r="A1" s="63" t="str">
        <x:v>Visor Integrado de Democracia del Perú 2020–2030</x:v>
      </x:c>
      <x:c r="B1" s="63" t="str">
        <x:v>Visor Integrado de Democracia del Perú 2020–2030</x:v>
      </x:c>
      <x:c r="C1" s="63" t="str">
        <x:v>Visor Integrado de Democracia del Perú 2020–2030</x:v>
      </x:c>
      <x:c r="D1" s="63" t="str">
        <x:v>Visor Integrado de Democracia del Perú 2020–2030</x:v>
      </x:c>
      <x:c r="E1" s="63" t="str">
        <x:v>Visor Integrado de Democracia del Perú 2020–2030</x:v>
      </x:c>
      <x:c r="F1" s="63" t="str">
        <x:v>Visor Integrado de Democracia del Perú 2020–2030</x:v>
      </x:c>
      <x:c r="G1" s="63" t="str">
        <x:v>Visor Integrado de Democracia del Perú 2020–2030</x:v>
      </x:c>
      <x:c r="H1" s="63" t="str">
        <x:v>Visor Integrado de Democracia del Perú 2020–2030</x:v>
      </x:c>
      <x:c r="I1" s="63" t="str">
        <x:v>Visor Integrado de Democracia del Perú 2020–2030</x:v>
      </x:c>
      <x:c r="J1" s="63" t="str">
        <x:v>Visor Integrado de Democracia del Perú 2020–2030</x:v>
      </x:c>
      <x:c r="K1" s="63" t="str">
        <x:v>Visor Integrado de Democracia del Perú 2020–2030</x:v>
      </x:c>
      <x:c r="L1" s="63" t="str">
        <x:v>Visor Integrado de Democracia del Perú 2020–2030</x:v>
      </x:c>
      <x:c r="M1" s="63" t="str">
        <x:v>Visor Integrado de Democracia del Perú 2020–2030</x:v>
      </x:c>
      <x:c r="N1" s="63" t="str">
        <x:v>Visor Integrado de Democracia del Perú 2020–2030</x:v>
      </x:c>
      <x:c r="O1" s="63" t="str">
        <x:v>Visor Integrado de Democracia del Perú 2020–2030</x:v>
      </x:c>
      <x:c r="P1" s="63" t="str">
        <x:v>Visor Integrado de Democracia del Perú 2020–2030</x:v>
      </x:c>
    </x:row>
    <x:row r="2" ht="34" customHeight="1">
      <x:c r="A2" s="64" t="str">
        <x:v>Base integral v2.1.0-rc.1 · fases 1–7 · 2025 agregado reportado / dimensiones latentes · tres escenarios de sensibilidad</x:v>
      </x:c>
      <x:c r="B2" s="64" t="str">
        <x:v>Base integral v2.1.0-rc.1 · fases 1–7 · 2025 agregado reportado / dimensiones latentes · tres escenarios de sensibilidad</x:v>
      </x:c>
      <x:c r="C2" s="64" t="str">
        <x:v>Base integral v2.1.0-rc.1 · fases 1–7 · 2025 agregado reportado / dimensiones latentes · tres escenarios de sensibilidad</x:v>
      </x:c>
      <x:c r="D2" s="64" t="str">
        <x:v>Base integral v2.1.0-rc.1 · fases 1–7 · 2025 agregado reportado / dimensiones latentes · tres escenarios de sensibilidad</x:v>
      </x:c>
      <x:c r="E2" s="64" t="str">
        <x:v>Base integral v2.1.0-rc.1 · fases 1–7 · 2025 agregado reportado / dimensiones latentes · tres escenarios de sensibilidad</x:v>
      </x:c>
      <x:c r="F2" s="64" t="str">
        <x:v>Base integral v2.1.0-rc.1 · fases 1–7 · 2025 agregado reportado / dimensiones latentes · tres escenarios de sensibilidad</x:v>
      </x:c>
      <x:c r="G2" s="64" t="str">
        <x:v>Base integral v2.1.0-rc.1 · fases 1–7 · 2025 agregado reportado / dimensiones latentes · tres escenarios de sensibilidad</x:v>
      </x:c>
      <x:c r="H2" s="64" t="str">
        <x:v>Base integral v2.1.0-rc.1 · fases 1–7 · 2025 agregado reportado / dimensiones latentes · tres escenarios de sensibilidad</x:v>
      </x:c>
      <x:c r="I2" s="64" t="str">
        <x:v>Base integral v2.1.0-rc.1 · fases 1–7 · 2025 agregado reportado / dimensiones latentes · tres escenarios de sensibilidad</x:v>
      </x:c>
      <x:c r="J2" s="64" t="str">
        <x:v>Base integral v2.1.0-rc.1 · fases 1–7 · 2025 agregado reportado / dimensiones latentes · tres escenarios de sensibilidad</x:v>
      </x:c>
      <x:c r="K2" s="64" t="str">
        <x:v>Base integral v2.1.0-rc.1 · fases 1–7 · 2025 agregado reportado / dimensiones latentes · tres escenarios de sensibilidad</x:v>
      </x:c>
      <x:c r="L2" s="64" t="str">
        <x:v>Base integral v2.1.0-rc.1 · fases 1–7 · 2025 agregado reportado / dimensiones latentes · tres escenarios de sensibilidad</x:v>
      </x:c>
      <x:c r="M2" s="64" t="str">
        <x:v>Base integral v2.1.0-rc.1 · fases 1–7 · 2025 agregado reportado / dimensiones latentes · tres escenarios de sensibilidad</x:v>
      </x:c>
      <x:c r="N2" s="64" t="str">
        <x:v>Base integral v2.1.0-rc.1 · fases 1–7 · 2025 agregado reportado / dimensiones latentes · tres escenarios de sensibilidad</x:v>
      </x:c>
      <x:c r="O2" s="64" t="str">
        <x:v>Base integral v2.1.0-rc.1 · fases 1–7 · 2025 agregado reportado / dimensiones latentes · tres escenarios de sensibilidad</x:v>
      </x:c>
      <x:c r="P2" s="64" t="str">
        <x:v>Base integral v2.1.0-rc.1 · fases 1–7 · 2025 agregado reportado / dimensiones latentes · tres escenarios de sensibilidad</x:v>
      </x:c>
    </x:row>
    <x:row r="3" ht="4" customHeight="1">
      <x:c r="A3" s="65"/>
      <x:c r="B3" s="65"/>
      <x:c r="C3" s="65"/>
      <x:c r="D3" s="65"/>
      <x:c r="E3" s="65"/>
      <x:c r="F3" s="65"/>
      <x:c r="G3" s="65"/>
      <x:c r="H3" s="65"/>
      <x:c r="I3" s="65"/>
      <x:c r="J3" s="65"/>
      <x:c r="K3" s="65"/>
      <x:c r="L3" s="65"/>
      <x:c r="M3" s="65"/>
      <x:c r="N3" s="65"/>
      <x:c r="O3" s="65"/>
      <x:c r="P3" s="65"/>
    </x:row>
    <x:row r="4">
      <x:c r="A4" s="66"/>
      <x:c r="B4" s="66"/>
      <x:c r="C4" s="66"/>
      <x:c r="D4" s="66"/>
      <x:c r="E4" s="66"/>
      <x:c r="F4" s="66"/>
      <x:c r="G4" s="66"/>
      <x:c r="H4" s="66"/>
      <x:c r="I4" s="66"/>
      <x:c r="J4" s="66"/>
      <x:c r="K4" s="66"/>
      <x:c r="L4" s="66"/>
      <x:c r="M4" s="66"/>
      <x:c r="N4" s="66"/>
      <x:c r="O4" s="66"/>
      <x:c r="P4" s="66"/>
    </x:row>
    <x:row r="5" ht="36" customHeight="1">
      <x:c r="A5" s="67" t="str">
        <x:v>Perú 2025</x:v>
      </x:c>
      <x:c r="B5" s="67" t="str">
        <x:v>Cambio 2024→2025</x:v>
      </x:c>
      <x:c r="C5" s="67" t="str">
        <x:v>Latinoamérica 2025</x:v>
      </x:c>
      <x:c r="D5" s="67" t="str">
        <x:v>Mundo 2025</x:v>
      </x:c>
      <x:c r="E5" s="66"/>
      <x:c r="F5" s="66"/>
      <x:c r="G5" s="66"/>
      <x:c r="H5" s="66"/>
      <x:c r="I5" s="66"/>
      <x:c r="J5" s="66"/>
      <x:c r="K5" s="66"/>
      <x:c r="L5" s="66"/>
      <x:c r="M5" s="66"/>
      <x:c r="N5" s="66"/>
      <x:c r="O5" s="66"/>
      <x:c r="P5" s="66"/>
    </x:row>
    <x:row r="6">
      <x:c r="A6" s="68" t="n">
        <x:f>B31</x:f>
        <x:v>5.88</x:v>
      </x:c>
      <x:c r="B6" s="68" t="n">
        <x:f>B31-B30</x:f>
        <x:v>0.1899999999999995</x:v>
      </x:c>
      <x:c r="C6" s="68" t="n">
        <x:f>C31</x:f>
        <x:v>5.71</x:v>
      </x:c>
      <x:c r="D6" s="68" t="n">
        <x:f>D31</x:f>
        <x:v>5.19</x:v>
      </x:c>
      <x:c r="E6" s="66"/>
      <x:c r="F6" s="66"/>
      <x:c r="G6" s="66"/>
      <x:c r="H6" s="66"/>
      <x:c r="I6" s="66"/>
      <x:c r="J6" s="66"/>
      <x:c r="K6" s="66"/>
      <x:c r="L6" s="66"/>
      <x:c r="M6" s="66"/>
      <x:c r="N6" s="66"/>
      <x:c r="O6" s="66"/>
      <x:c r="P6" s="66"/>
    </x:row>
    <x:row r="7">
      <x:c r="A7" s="66"/>
      <x:c r="B7" s="66"/>
      <x:c r="C7" s="66"/>
      <x:c r="D7" s="66"/>
      <x:c r="E7" s="66"/>
      <x:c r="F7" s="66"/>
      <x:c r="G7" s="66"/>
      <x:c r="H7" s="66"/>
      <x:c r="I7" s="66"/>
      <x:c r="J7" s="66"/>
      <x:c r="K7" s="66"/>
      <x:c r="L7" s="66"/>
      <x:c r="M7" s="66"/>
      <x:c r="N7" s="66"/>
      <x:c r="O7" s="66"/>
      <x:c r="P7" s="66"/>
    </x:row>
    <x:row r="8" ht="36" customHeight="1">
      <x:c r="A8" s="67" t="str">
        <x:v>Recuperación 2030</x:v>
      </x:c>
      <x:c r="B8" s="67" t="str">
        <x:v>Continuidad 2030</x:v>
      </x:c>
      <x:c r="C8" s="67" t="str">
        <x:v>Deriva 2030</x:v>
      </x:c>
      <x:c r="D8" s="67" t="str">
        <x:v>Simulaciones</x:v>
      </x:c>
      <x:c r="E8" s="66"/>
      <x:c r="F8" s="66"/>
      <x:c r="G8" s="66"/>
      <x:c r="H8" s="66"/>
      <x:c r="I8" s="66"/>
      <x:c r="J8" s="66"/>
      <x:c r="K8" s="66"/>
      <x:c r="L8" s="66"/>
      <x:c r="M8" s="66"/>
      <x:c r="N8" s="66"/>
      <x:c r="O8" s="66"/>
      <x:c r="P8" s="66"/>
    </x:row>
    <x:row r="9">
      <x:c r="A9" s="69" t="n">
        <x:f>B22</x:f>
        <x:v>6.222</x:v>
      </x:c>
      <x:c r="B9" s="69" t="n">
        <x:f>C22</x:f>
        <x:v>5.874</x:v>
      </x:c>
      <x:c r="C9" s="69" t="n">
        <x:f>D22</x:f>
        <x:v>5.348</x:v>
      </x:c>
      <x:c r="D9" s="70" t="n">
        <x:v>10000</x:v>
      </x:c>
      <x:c r="E9" s="66"/>
      <x:c r="F9" s="66"/>
      <x:c r="G9" s="66"/>
      <x:c r="H9" s="66"/>
      <x:c r="I9" s="66"/>
      <x:c r="J9" s="66"/>
      <x:c r="K9" s="66"/>
      <x:c r="L9" s="66"/>
      <x:c r="M9" s="66"/>
      <x:c r="N9" s="66"/>
      <x:c r="O9" s="66"/>
      <x:c r="P9" s="66"/>
    </x:row>
    <x:row r="10">
      <x:c r="A10" s="66"/>
      <x:c r="B10" s="66"/>
      <x:c r="C10" s="66"/>
      <x:c r="D10" s="66"/>
      <x:c r="E10" s="66"/>
      <x:c r="F10" s="66"/>
      <x:c r="G10" s="66"/>
      <x:c r="H10" s="66"/>
      <x:c r="I10" s="66"/>
      <x:c r="J10" s="66"/>
      <x:c r="K10" s="66"/>
      <x:c r="L10" s="66"/>
      <x:c r="M10" s="66"/>
      <x:c r="N10" s="66"/>
      <x:c r="O10" s="66"/>
      <x:c r="P10" s="66"/>
    </x:row>
    <x:row r="11">
      <x:c r="A11" s="71"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1" s="72"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1" s="72"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1" s="73"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1" s="66"/>
      <x:c r="F11" s="66"/>
      <x:c r="G11" s="66"/>
      <x:c r="H11" s="66"/>
      <x:c r="I11" s="66"/>
      <x:c r="J11" s="66"/>
      <x:c r="K11" s="66"/>
      <x:c r="L11" s="66"/>
      <x:c r="M11" s="66"/>
      <x:c r="N11" s="66"/>
      <x:c r="O11" s="66"/>
      <x:c r="P11" s="66"/>
    </x:row>
    <x:row r="12">
      <x:c r="A12" s="74"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2" s="75"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2" s="75"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2" s="76"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2" s="66"/>
      <x:c r="F12" s="66"/>
      <x:c r="G12" s="66"/>
      <x:c r="H12" s="66"/>
      <x:c r="I12" s="66"/>
      <x:c r="J12" s="66"/>
      <x:c r="K12" s="66"/>
      <x:c r="L12" s="66"/>
      <x:c r="M12" s="66"/>
      <x:c r="N12" s="66"/>
      <x:c r="O12" s="66"/>
      <x:c r="P12" s="66"/>
    </x:row>
    <x:row r="13">
      <x:c r="A13" s="77"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3" s="78"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3" s="78"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3" s="79"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3" s="66"/>
      <x:c r="F13" s="66"/>
      <x:c r="G13" s="66"/>
      <x:c r="H13" s="66"/>
      <x:c r="I13" s="66"/>
      <x:c r="J13" s="66"/>
      <x:c r="K13" s="66"/>
      <x:c r="L13" s="66"/>
      <x:c r="M13" s="66"/>
      <x:c r="N13" s="66"/>
      <x:c r="O13" s="66"/>
      <x:c r="P13" s="66"/>
    </x:row>
    <x:row r="14">
      <x:c r="A14" s="66"/>
      <x:c r="B14" s="66"/>
      <x:c r="C14" s="66"/>
      <x:c r="D14" s="66"/>
      <x:c r="E14" s="66"/>
      <x:c r="F14" s="66"/>
      <x:c r="G14" s="66"/>
      <x:c r="H14" s="66"/>
      <x:c r="I14" s="66"/>
      <x:c r="J14" s="66"/>
      <x:c r="K14" s="66"/>
      <x:c r="L14" s="66"/>
      <x:c r="M14" s="66"/>
      <x:c r="N14" s="66"/>
      <x:c r="O14" s="66"/>
      <x:c r="P14" s="66"/>
    </x:row>
    <x:row r="15">
      <x:c r="A15" s="66"/>
      <x:c r="B15" s="66"/>
      <x:c r="C15" s="66"/>
      <x:c r="D15" s="66"/>
      <x:c r="E15" s="66"/>
      <x:c r="F15" s="66"/>
      <x:c r="G15" s="66"/>
      <x:c r="H15" s="66"/>
      <x:c r="I15" s="66"/>
      <x:c r="J15" s="66"/>
      <x:c r="K15" s="66"/>
      <x:c r="L15" s="66"/>
      <x:c r="M15" s="66"/>
      <x:c r="N15" s="66"/>
      <x:c r="O15" s="66"/>
      <x:c r="P15" s="66"/>
    </x:row>
    <x:row r="16" ht="36" customHeight="1">
      <x:c r="A16" s="67" t="str">
        <x:v>Año</x:v>
      </x:c>
      <x:c r="B16" s="67" t="str">
        <x:v>Recuperación institucional</x:v>
      </x:c>
      <x:c r="C16" s="67" t="str">
        <x:v>Continuidad híbrida</x:v>
      </x:c>
      <x:c r="D16" s="67" t="str">
        <x:v>Deriva restrictiva</x:v>
      </x:c>
      <x:c r="E16" s="66"/>
      <x:c r="F16" s="66"/>
      <x:c r="G16" s="66"/>
      <x:c r="H16" s="66"/>
      <x:c r="I16" s="66"/>
      <x:c r="J16" s="66"/>
      <x:c r="K16" s="66"/>
      <x:c r="L16" s="66"/>
      <x:c r="M16" s="66"/>
      <x:c r="N16" s="66"/>
      <x:c r="O16" s="66"/>
      <x:c r="P16" s="66"/>
    </x:row>
    <x:row r="17">
      <x:c r="A17" s="80" t="n">
        <x:v>2025</x:v>
      </x:c>
      <x:c r="B17" s="81" t="n">
        <x:v>5.88</x:v>
      </x:c>
      <x:c r="C17" s="81" t="n">
        <x:v>5.88</x:v>
      </x:c>
      <x:c r="D17" s="81" t="n">
        <x:v>5.88</x:v>
      </x:c>
      <x:c r="E17" s="66"/>
      <x:c r="F17" s="66"/>
      <x:c r="G17" s="66"/>
      <x:c r="H17" s="66"/>
      <x:c r="I17" s="66"/>
      <x:c r="J17" s="66"/>
      <x:c r="K17" s="66"/>
      <x:c r="L17" s="66"/>
      <x:c r="M17" s="66"/>
      <x:c r="N17" s="66"/>
      <x:c r="O17" s="66"/>
      <x:c r="P17" s="66"/>
    </x:row>
    <x:row r="18">
      <x:c r="A18" s="82" t="n">
        <x:v>2026</x:v>
      </x:c>
      <x:c r="B18" s="83" t="n">
        <x:v>5.984</x:v>
      </x:c>
      <x:c r="C18" s="83" t="n">
        <x:v>5.864</x:v>
      </x:c>
      <x:c r="D18" s="83" t="n">
        <x:v>5.684</x:v>
      </x:c>
      <x:c r="E18" s="66"/>
      <x:c r="F18" s="66"/>
      <x:c r="G18" s="66"/>
      <x:c r="H18" s="66"/>
      <x:c r="I18" s="66"/>
      <x:c r="J18" s="66"/>
      <x:c r="K18" s="66"/>
      <x:c r="L18" s="66"/>
      <x:c r="M18" s="66"/>
      <x:c r="N18" s="66"/>
      <x:c r="O18" s="66"/>
      <x:c r="P18" s="66"/>
    </x:row>
    <x:row r="19">
      <x:c r="A19" s="80" t="n">
        <x:v>2027</x:v>
      </x:c>
      <x:c r="B19" s="81" t="n">
        <x:v>6.052</x:v>
      </x:c>
      <x:c r="C19" s="81" t="n">
        <x:v>5.866</x:v>
      </x:c>
      <x:c r="D19" s="81" t="n">
        <x:v>5.599</x:v>
      </x:c>
      <x:c r="E19" s="66"/>
      <x:c r="F19" s="66"/>
      <x:c r="G19" s="66"/>
      <x:c r="H19" s="66"/>
      <x:c r="I19" s="66"/>
      <x:c r="J19" s="66"/>
      <x:c r="K19" s="66"/>
      <x:c r="L19" s="66"/>
      <x:c r="M19" s="66"/>
      <x:c r="N19" s="66"/>
      <x:c r="O19" s="66"/>
      <x:c r="P19" s="66"/>
    </x:row>
    <x:row r="20">
      <x:c r="A20" s="82" t="n">
        <x:v>2028</x:v>
      </x:c>
      <x:c r="B20" s="83" t="n">
        <x:v>6.117</x:v>
      </x:c>
      <x:c r="C20" s="83" t="n">
        <x:v>5.869</x:v>
      </x:c>
      <x:c r="D20" s="83" t="n">
        <x:v>5.509</x:v>
      </x:c>
      <x:c r="E20" s="66"/>
      <x:c r="F20" s="66"/>
      <x:c r="G20" s="66"/>
      <x:c r="H20" s="66"/>
      <x:c r="I20" s="66"/>
      <x:c r="J20" s="66"/>
      <x:c r="K20" s="66"/>
      <x:c r="L20" s="66"/>
      <x:c r="M20" s="66"/>
      <x:c r="N20" s="66"/>
      <x:c r="O20" s="66"/>
      <x:c r="P20" s="66"/>
    </x:row>
    <x:row r="21">
      <x:c r="A21" s="80" t="n">
        <x:v>2029</x:v>
      </x:c>
      <x:c r="B21" s="81" t="n">
        <x:v>6.173</x:v>
      </x:c>
      <x:c r="C21" s="81" t="n">
        <x:v>5.871</x:v>
      </x:c>
      <x:c r="D21" s="81" t="n">
        <x:v>5.423</x:v>
      </x:c>
      <x:c r="E21" s="66"/>
      <x:c r="F21" s="66"/>
      <x:c r="G21" s="66"/>
      <x:c r="H21" s="66"/>
      <x:c r="I21" s="66"/>
      <x:c r="J21" s="66"/>
      <x:c r="K21" s="66"/>
      <x:c r="L21" s="66"/>
      <x:c r="M21" s="66"/>
      <x:c r="N21" s="66"/>
      <x:c r="O21" s="66"/>
      <x:c r="P21" s="66"/>
    </x:row>
    <x:row r="22">
      <x:c r="A22" s="82" t="n">
        <x:v>2030</x:v>
      </x:c>
      <x:c r="B22" s="83" t="n">
        <x:v>6.222</x:v>
      </x:c>
      <x:c r="C22" s="83" t="n">
        <x:v>5.874</x:v>
      </x:c>
      <x:c r="D22" s="83" t="n">
        <x:v>5.348</x:v>
      </x:c>
      <x:c r="E22" s="66"/>
      <x:c r="F22" s="66"/>
      <x:c r="G22" s="66"/>
      <x:c r="H22" s="66"/>
      <x:c r="I22" s="66"/>
      <x:c r="J22" s="66"/>
      <x:c r="K22" s="66"/>
      <x:c r="L22" s="66"/>
      <x:c r="M22" s="66"/>
      <x:c r="N22" s="66"/>
      <x:c r="O22" s="66"/>
      <x:c r="P22" s="66"/>
    </x:row>
    <x:row r="23">
      <x:c r="A23" s="66"/>
      <x:c r="B23" s="66"/>
      <x:c r="C23" s="66"/>
      <x:c r="D23" s="66"/>
      <x:c r="E23" s="66"/>
      <x:c r="F23" s="66"/>
      <x:c r="G23" s="66"/>
      <x:c r="H23" s="66"/>
      <x:c r="I23" s="66"/>
      <x:c r="J23" s="66"/>
      <x:c r="K23" s="66"/>
      <x:c r="L23" s="66"/>
      <x:c r="M23" s="66"/>
      <x:c r="N23" s="66"/>
      <x:c r="O23" s="66"/>
      <x:c r="P23" s="66"/>
    </x:row>
    <x:row r="24">
      <x:c r="A24" s="66"/>
      <x:c r="B24" s="66"/>
      <x:c r="C24" s="66"/>
      <x:c r="D24" s="66"/>
      <x:c r="E24" s="66"/>
      <x:c r="F24" s="66"/>
      <x:c r="G24" s="66"/>
      <x:c r="H24" s="66"/>
      <x:c r="I24" s="66"/>
      <x:c r="J24" s="66"/>
      <x:c r="K24" s="66"/>
      <x:c r="L24" s="66"/>
      <x:c r="M24" s="66"/>
      <x:c r="N24" s="66"/>
      <x:c r="O24" s="66"/>
      <x:c r="P24" s="66"/>
    </x:row>
    <x:row r="25" ht="36" customHeight="1">
      <x:c r="A25" s="14" t="str">
        <x:v>Año</x:v>
      </x:c>
      <x:c r="B25" s="14" t="str">
        <x:v>Perú</x:v>
      </x:c>
      <x:c r="C25" s="14" t="str">
        <x:v>América Latina</x:v>
      </x:c>
      <x:c r="D25" s="14" t="str">
        <x:v>Mundo</x:v>
      </x:c>
    </x:row>
    <x:row r="26">
      <x:c r="A26" s="58" t="n">
        <x:v>2020</x:v>
      </x:c>
      <x:c r="B26" s="61" t="n">
        <x:v>6.53</x:v>
      </x:c>
      <x:c r="C26" s="61" t="n">
        <x:v>6.09</x:v>
      </x:c>
      <x:c r="D26" s="61" t="n">
        <x:v>5.37</x:v>
      </x:c>
    </x:row>
    <x:row r="27">
      <x:c r="A27" s="57" t="n">
        <x:v>2021</x:v>
      </x:c>
      <x:c r="B27" s="62" t="n">
        <x:v>6.09</x:v>
      </x:c>
      <x:c r="C27" s="62" t="n">
        <x:v>5.83</x:v>
      </x:c>
      <x:c r="D27" s="62" t="n">
        <x:v>5.28</x:v>
      </x:c>
    </x:row>
    <x:row r="28">
      <x:c r="A28" s="58" t="n">
        <x:v>2022</x:v>
      </x:c>
      <x:c r="B28" s="61" t="n">
        <x:v>5.92</x:v>
      </x:c>
      <x:c r="C28" s="61" t="n">
        <x:v>5.79</x:v>
      </x:c>
      <x:c r="D28" s="61" t="n">
        <x:v>5.29</x:v>
      </x:c>
    </x:row>
    <x:row r="29">
      <x:c r="A29" s="57" t="n">
        <x:v>2023</x:v>
      </x:c>
      <x:c r="B29" s="62" t="n">
        <x:v>5.81</x:v>
      </x:c>
      <x:c r="C29" s="62" t="n">
        <x:v>5.68</x:v>
      </x:c>
      <x:c r="D29" s="62" t="n">
        <x:v>5.23</x:v>
      </x:c>
    </x:row>
    <x:row r="30">
      <x:c r="A30" s="58" t="n">
        <x:v>2024</x:v>
      </x:c>
      <x:c r="B30" s="61" t="n">
        <x:v>5.69</x:v>
      </x:c>
      <x:c r="C30" s="61" t="n">
        <x:v>5.61</x:v>
      </x:c>
      <x:c r="D30" s="61" t="n">
        <x:v>5.17</x:v>
      </x:c>
    </x:row>
    <x:row r="31">
      <x:c r="A31" s="57" t="n">
        <x:v>2025</x:v>
      </x:c>
      <x:c r="B31" s="62" t="n">
        <x:v>5.88</x:v>
      </x:c>
      <x:c r="C31" s="62" t="n">
        <x:v>5.71</x:v>
      </x:c>
      <x:c r="D31" s="62" t="n">
        <x:v>5.19</x:v>
      </x:c>
    </x:row>
  </x:sheetData>
  <x:mergeCells>
    <x:mergeCell ref="A1:P1"/>
    <x:mergeCell ref="A2:P2"/>
    <x:mergeCell ref="A11:D13"/>
  </x:mergeCells>
  <x:pageMargins left="0.7" right="0.7" top="0.75" bottom="0.75" header="0.3" footer="0.3"/>
  <x:drawing xmlns:r="http://schemas.openxmlformats.org/officeDocument/2006/relationships" r:id="Rf9f4566a2e5c426c"/>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44" hidden="0" customWidth="1"/>
    <x:col min="13" max="13" width="44" hidden="0" customWidth="1"/>
    <x:col min="14" max="14" width="44" hidden="0" customWidth="1"/>
    <x:col min="15" max="15" width="28" hidden="0" customWidth="1"/>
    <x:col min="16" max="16" width="28" hidden="0" customWidth="1"/>
  </x:cols>
  <x:sheetData>
    <x:row r="1" ht="19.200000762939453" hidden="0" customHeight="1">
      <x:c r="A1" s="3" t="str">
        <x:v>Serie comparada 2020–2025</x:v>
      </x:c>
      <x:c r="B1" s="3" t="str">
        <x:v>Serie comparada 2020–2025</x:v>
      </x:c>
      <x:c r="C1" s="3" t="str">
        <x:v>Serie comparada 2020–2025</x:v>
      </x:c>
      <x:c r="D1" s="3" t="str">
        <x:v>Serie comparada 2020–2025</x:v>
      </x:c>
      <x:c r="E1" s="3" t="str">
        <x:v>Serie comparada 2020–2025</x:v>
      </x:c>
      <x:c r="F1" s="3" t="str">
        <x:v>Serie comparada 2020–2025</x:v>
      </x:c>
      <x:c r="G1" s="3" t="str">
        <x:v>Serie comparada 2020–2025</x:v>
      </x:c>
      <x:c r="H1" s="3" t="str">
        <x:v>Serie comparada 2020–2025</x:v>
      </x:c>
      <x:c r="I1" s="3" t="str">
        <x:v>Serie comparada 2020–2025</x:v>
      </x:c>
      <x:c r="J1" s="3" t="str">
        <x:v>Serie comparada 2020–2025</x:v>
      </x:c>
      <x:c r="K1" s="3" t="str">
        <x:v>Serie comparada 2020–2025</x:v>
      </x:c>
      <x:c r="L1" s="3" t="str">
        <x:v>Serie comparada 2020–2025</x:v>
      </x:c>
      <x:c r="M1" s="3" t="str">
        <x:v>Serie comparada 2020–2025</x:v>
      </x:c>
      <x:c r="N1" s="3" t="str">
        <x:v>Serie comparada 2020–2025</x:v>
      </x:c>
      <x:c r="O1" s="3" t="str">
        <x:v>Serie comparada 2020–2025</x:v>
      </x:c>
      <x:c r="P1" s="3" t="str">
        <x:v>Serie comparada 2020–2025</x:v>
      </x:c>
    </x:row>
    <x:row r="2" ht="15" hidden="0" customHeight="1">
      <x:c r="A2" s="7" t="str">
        <x:v>Valores agregados del Democracy Index para Perú, América Latina y el mundo. El agregado Perú 2025 conserva su condición de reporte secundario.</x:v>
      </x:c>
      <x:c r="B2" s="7" t="str">
        <x:v>Valores agregados del Democracy Index para Perú, América Latina y el mundo. El agregado Perú 2025 conserva su condición de reporte secundario.</x:v>
      </x:c>
      <x:c r="C2" s="7" t="str">
        <x:v>Valores agregados del Democracy Index para Perú, América Latina y el mundo. El agregado Perú 2025 conserva su condición de reporte secundario.</x:v>
      </x:c>
      <x:c r="D2" s="7" t="str">
        <x:v>Valores agregados del Democracy Index para Perú, América Latina y el mundo. El agregado Perú 2025 conserva su condición de reporte secundario.</x:v>
      </x:c>
      <x:c r="E2" s="7" t="str">
        <x:v>Valores agregados del Democracy Index para Perú, América Latina y el mundo. El agregado Perú 2025 conserva su condición de reporte secundario.</x:v>
      </x:c>
      <x:c r="F2" s="7" t="str">
        <x:v>Valores agregados del Democracy Index para Perú, América Latina y el mundo. El agregado Perú 2025 conserva su condición de reporte secundario.</x:v>
      </x:c>
      <x:c r="G2" s="7" t="str">
        <x:v>Valores agregados del Democracy Index para Perú, América Latina y el mundo. El agregado Perú 2025 conserva su condición de reporte secundario.</x:v>
      </x:c>
      <x:c r="H2" s="7" t="str">
        <x:v>Valores agregados del Democracy Index para Perú, América Latina y el mundo. El agregado Perú 2025 conserva su condición de reporte secundario.</x:v>
      </x:c>
      <x:c r="I2" s="7" t="str">
        <x:v>Valores agregados del Democracy Index para Perú, América Latina y el mundo. El agregado Perú 2025 conserva su condición de reporte secundario.</x:v>
      </x:c>
      <x:c r="J2" s="7" t="str">
        <x:v>Valores agregados del Democracy Index para Perú, América Latina y el mundo. El agregado Perú 2025 conserva su condición de reporte secundario.</x:v>
      </x:c>
      <x:c r="K2" s="7" t="str">
        <x:v>Valores agregados del Democracy Index para Perú, América Latina y el mundo. El agregado Perú 2025 conserva su condición de reporte secundario.</x:v>
      </x:c>
      <x:c r="L2" s="7" t="str">
        <x:v>Valores agregados del Democracy Index para Perú, América Latina y el mundo. El agregado Perú 2025 conserva su condición de reporte secundario.</x:v>
      </x:c>
      <x:c r="M2" s="7" t="str">
        <x:v>Valores agregados del Democracy Index para Perú, América Latina y el mundo. El agregado Perú 2025 conserva su condición de reporte secundario.</x:v>
      </x:c>
      <x:c r="N2" s="7" t="str">
        <x:v>Valores agregados del Democracy Index para Perú, América Latina y el mundo. El agregado Perú 2025 conserva su condición de reporte secundario.</x:v>
      </x:c>
      <x:c r="O2" s="7" t="str">
        <x:v>Valores agregados del Democracy Index para Perú, América Latina y el mundo. El agregado Perú 2025 conserva su condición de reporte secundario.</x:v>
      </x:c>
      <x:c r="P2" s="7" t="str">
        <x:v>Valores agregados del Democracy Index para Perú, América Latina y el mundo. El agregado Perú 2025 conserva su condición de reporte secundario.</x:v>
      </x:c>
    </x:row>
    <x:row r="3" ht="15" hidden="0" customHeight="1">
      <x:c r="A3" s="8"/>
      <x:c r="B3" s="8"/>
      <x:c r="C3" s="8"/>
      <x:c r="D3" s="8"/>
      <x:c r="E3" s="8"/>
      <x:c r="F3" s="8"/>
      <x:c r="G3" s="8"/>
      <x:c r="H3" s="8"/>
      <x:c r="I3" s="8"/>
      <x:c r="J3" s="8"/>
      <x:c r="K3" s="8"/>
      <x:c r="L3" s="8"/>
      <x:c r="M3" s="8"/>
      <x:c r="N3" s="8"/>
      <x:c r="O3" s="8"/>
      <x:c r="P3" s="8"/>
    </x:row>
    <x:row r="4"/>
    <x:row r="5" ht="15" hidden="0" customHeight="1">
      <x:c r="A5" s="14" t="str">
        <x:v>year</x:v>
      </x:c>
      <x:c r="B5" s="14" t="str">
        <x:v>peru_score</x:v>
      </x:c>
      <x:c r="C5" s="14" t="str">
        <x:v>latin_america_score</x:v>
      </x:c>
      <x:c r="D5" s="14" t="str">
        <x:v>world_score</x:v>
      </x:c>
      <x:c r="E5" s="14" t="str">
        <x:v>peru_regime_type</x:v>
      </x:c>
      <x:c r="F5" s="14" t="str">
        <x:v>peru_minus_latam</x:v>
      </x:c>
      <x:c r="G5" s="14" t="str">
        <x:v>peru_minus_world</x:v>
      </x:c>
      <x:c r="H5" s="14" t="str">
        <x:v>latam_minus_world</x:v>
      </x:c>
      <x:c r="I5" s="14" t="str">
        <x:v>peru_pct_change_vs_2020</x:v>
      </x:c>
      <x:c r="J5" s="14" t="str">
        <x:v>latin_america_pct_change_vs_2020</x:v>
      </x:c>
      <x:c r="K5" s="14" t="str">
        <x:v>world_pct_change_vs_2020</x:v>
      </x:c>
      <x:c r="L5" s="14" t="str">
        <x:v>source_peru</x:v>
      </x:c>
      <x:c r="M5" s="14" t="str">
        <x:v>source_latam</x:v>
      </x:c>
      <x:c r="N5" s="14" t="str">
        <x:v>source_world</x:v>
      </x:c>
      <x:c r="O5" s="14" t="str">
        <x:v>peru_rank</x:v>
      </x:c>
      <x:c r="P5" s="14" t="str">
        <x:v>data_status_peru</x:v>
      </x:c>
    </x:row>
    <x:row r="6" ht="15" hidden="0" customHeight="1">
      <x:c r="A6" s="58" t="n">
        <x:v>2020</x:v>
      </x:c>
      <x:c r="B6" s="59" t="n">
        <x:v>6.53</x:v>
      </x:c>
      <x:c r="C6" s="59" t="n">
        <x:v>6.09</x:v>
      </x:c>
      <x:c r="D6" s="59" t="n">
        <x:v>5.37</x:v>
      </x:c>
      <x:c r="E6" s="58" t="str">
        <x:v>Flawed democracy</x:v>
      </x:c>
      <x:c r="F6" s="59" t="n">
        <x:v>0.44</x:v>
      </x:c>
      <x:c r="G6" s="59" t="n">
        <x:v>1.16</x:v>
      </x:c>
      <x:c r="H6" s="59" t="n">
        <x:v>0.72</x:v>
      </x:c>
      <x:c r="I6" s="59" t="n">
        <x:v>0</x:v>
      </x:c>
      <x:c r="J6" s="59" t="n">
        <x:v>0</x:v>
      </x:c>
      <x:c r="K6" s="59" t="n">
        <x:v>0</x:v>
      </x:c>
      <x:c r="L6" s="58" t="str">
        <x:v>EIU, Democracy Index 2020, Table 8, p. 37</x:v>
      </x:c>
      <x:c r="M6" s="58" t="str">
        <x:v>EIU, Democracy Index 2020, Chart 7/Table 8, p. 37</x:v>
      </x:c>
      <x:c r="N6" s="58" t="str">
        <x:v>EIU, Democracy Index 2020, overview + Chart 7, pp. 3–4, 37</x:v>
      </x:c>
      <x:c r="O6" s="58" t="n">
        <x:v>57</x:v>
      </x:c>
      <x:c r="P6" s="58" t="str">
        <x:v>observed_EIU</x:v>
      </x:c>
    </x:row>
    <x:row r="7" ht="15" hidden="0" customHeight="1">
      <x:c r="A7" s="57" t="n">
        <x:v>2021</x:v>
      </x:c>
      <x:c r="B7" s="60" t="n">
        <x:v>6.09</x:v>
      </x:c>
      <x:c r="C7" s="60" t="n">
        <x:v>5.83</x:v>
      </x:c>
      <x:c r="D7" s="60" t="n">
        <x:v>5.28</x:v>
      </x:c>
      <x:c r="E7" s="57" t="str">
        <x:v>Flawed democracy</x:v>
      </x:c>
      <x:c r="F7" s="60" t="n">
        <x:v>0.26</x:v>
      </x:c>
      <x:c r="G7" s="60" t="n">
        <x:v>0.81</x:v>
      </x:c>
      <x:c r="H7" s="60" t="n">
        <x:v>0.55</x:v>
      </x:c>
      <x:c r="I7" s="60" t="n">
        <x:v>-6.74</x:v>
      </x:c>
      <x:c r="J7" s="60" t="n">
        <x:v>-4.27</x:v>
      </x:c>
      <x:c r="K7" s="60" t="n">
        <x:v>-1.68</x:v>
      </x:c>
      <x:c r="L7" s="57" t="str">
        <x:v>EIU, Democracy Index 2021, Table 8, p. 49</x:v>
      </x:c>
      <x:c r="M7" s="57" t="str">
        <x:v>EIU, Democracy Index 2021, category chart, pp. 48–49</x:v>
      </x:c>
      <x:c r="N7" s="57" t="str">
        <x:v>EIU, Democracy Index 2021, category chart, pp. 48–49</x:v>
      </x:c>
      <x:c r="O7" s="57"/>
      <x:c r="P7" s="57" t="str">
        <x:v>observed_EIU</x:v>
      </x:c>
    </x:row>
    <x:row r="8" ht="15" hidden="0" customHeight="1">
      <x:c r="A8" s="58" t="n">
        <x:v>2022</x:v>
      </x:c>
      <x:c r="B8" s="59" t="n">
        <x:v>5.92</x:v>
      </x:c>
      <x:c r="C8" s="59" t="n">
        <x:v>5.79</x:v>
      </x:c>
      <x:c r="D8" s="59" t="n">
        <x:v>5.29</x:v>
      </x:c>
      <x:c r="E8" s="58" t="str">
        <x:v>Hybrid regime</x:v>
      </x:c>
      <x:c r="F8" s="59" t="n">
        <x:v>0.13</x:v>
      </x:c>
      <x:c r="G8" s="59" t="n">
        <x:v>0.63</x:v>
      </x:c>
      <x:c r="H8" s="59" t="n">
        <x:v>0.5</x:v>
      </x:c>
      <x:c r="I8" s="59" t="n">
        <x:v>-9.34</x:v>
      </x:c>
      <x:c r="J8" s="59" t="n">
        <x:v>-4.93</x:v>
      </x:c>
      <x:c r="K8" s="59" t="n">
        <x:v>-1.49</x:v>
      </x:c>
      <x:c r="L8" s="58" t="str">
        <x:v>EIU, Democracy Index 2022, Table 8, pp. 43–44</x:v>
      </x:c>
      <x:c r="M8" s="58" t="str">
        <x:v>EIU, Democracy Index 2022, category chart, pp. 43–45</x:v>
      </x:c>
      <x:c r="N8" s="58" t="str">
        <x:v>EIU, Democracy Index 2022, overview + chart, pp. 3–7, 43–45</x:v>
      </x:c>
      <x:c r="O8" s="58" t="n">
        <x:v>75</x:v>
      </x:c>
      <x:c r="P8" s="58" t="str">
        <x:v>observed_EIU</x:v>
      </x:c>
    </x:row>
    <x:row r="9" ht="15" hidden="0" customHeight="1">
      <x:c r="A9" s="57" t="n">
        <x:v>2023</x:v>
      </x:c>
      <x:c r="B9" s="60" t="n">
        <x:v>5.81</x:v>
      </x:c>
      <x:c r="C9" s="60" t="n">
        <x:v>5.68</x:v>
      </x:c>
      <x:c r="D9" s="60" t="n">
        <x:v>5.23</x:v>
      </x:c>
      <x:c r="E9" s="57" t="str">
        <x:v>Hybrid regime</x:v>
      </x:c>
      <x:c r="F9" s="60" t="n">
        <x:v>0.13</x:v>
      </x:c>
      <x:c r="G9" s="60" t="n">
        <x:v>0.58</x:v>
      </x:c>
      <x:c r="H9" s="60" t="n">
        <x:v>0.45</x:v>
      </x:c>
      <x:c r="I9" s="60" t="n">
        <x:v>-11.03</x:v>
      </x:c>
      <x:c r="J9" s="60" t="n">
        <x:v>-6.73</x:v>
      </x:c>
      <x:c r="K9" s="60" t="n">
        <x:v>-2.61</x:v>
      </x:c>
      <x:c r="L9" s="57" t="str">
        <x:v>EIU, Democracy Index 2023, Table 2, p. 13</x:v>
      </x:c>
      <x:c r="M9" s="57" t="str">
        <x:v>EIU, Democracy Index 2023, category chart, pp. 45–46</x:v>
      </x:c>
      <x:c r="N9" s="57" t="str">
        <x:v>EIU, Democracy Index 2023, overview + chart, pp. 3–5, 45–46</x:v>
      </x:c>
      <x:c r="O9" s="57"/>
      <x:c r="P9" s="57" t="str">
        <x:v>observed_EIU</x:v>
      </x:c>
    </x:row>
    <x:row r="10" ht="15" hidden="0" customHeight="1">
      <x:c r="A10" s="58" t="n">
        <x:v>2024</x:v>
      </x:c>
      <x:c r="B10" s="59" t="n">
        <x:v>5.69</x:v>
      </x:c>
      <x:c r="C10" s="59" t="n">
        <x:v>5.61</x:v>
      </x:c>
      <x:c r="D10" s="59" t="n">
        <x:v>5.17</x:v>
      </x:c>
      <x:c r="E10" s="58" t="str">
        <x:v>Hybrid regime</x:v>
      </x:c>
      <x:c r="F10" s="59" t="n">
        <x:v>0.08</x:v>
      </x:c>
      <x:c r="G10" s="59" t="n">
        <x:v>0.52</x:v>
      </x:c>
      <x:c r="H10" s="59" t="n">
        <x:v>0.44</x:v>
      </x:c>
      <x:c r="I10" s="59" t="n">
        <x:v>-12.86</x:v>
      </x:c>
      <x:c r="J10" s="59" t="n">
        <x:v>-7.88</x:v>
      </x:c>
      <x:c r="K10" s="59" t="n">
        <x:v>-3.72</x:v>
      </x:c>
      <x:c r="L10" s="58" t="str">
        <x:v>EIU, Democracy Index 2024, Table 2, p. 18 / Table 6, p. 54</x:v>
      </x:c>
      <x:c r="M10" s="58" t="str">
        <x:v>EIU, Democracy Index 2024, Table 6, pp. 53–54</x:v>
      </x:c>
      <x:c r="N10" s="58" t="str">
        <x:v>EIU, Democracy Index 2024, overview + category chart, pp. 6–12, 43</x:v>
      </x:c>
      <x:c r="O10" s="58" t="n">
        <x:v>78</x:v>
      </x:c>
      <x:c r="P10" s="58" t="str">
        <x:v>observed_EIU</x:v>
      </x:c>
    </x:row>
    <x:row r="11" ht="15" hidden="0" customHeight="1">
      <x:c r="A11" s="57" t="n">
        <x:v>2025</x:v>
      </x:c>
      <x:c r="B11" s="60" t="n">
        <x:v>5.88</x:v>
      </x:c>
      <x:c r="C11" s="60" t="n">
        <x:v>5.71</x:v>
      </x:c>
      <x:c r="D11" s="60" t="n">
        <x:v>5.19</x:v>
      </x:c>
      <x:c r="E11" s="57" t="str">
        <x:v>Hybrid regime</x:v>
      </x:c>
      <x:c r="F11" s="60" t="n">
        <x:v>0.17</x:v>
      </x:c>
      <x:c r="G11" s="60" t="n">
        <x:v>0.69</x:v>
      </x:c>
      <x:c r="H11" s="60" t="n">
        <x:v>0.52</x:v>
      </x:c>
      <x:c r="I11" s="60" t="n">
        <x:v>-9.95</x:v>
      </x:c>
      <x:c r="J11" s="60" t="n">
        <x:v>-6.24</x:v>
      </x:c>
      <x:c r="K11" s="60" t="n">
        <x:v>-3.35</x:v>
      </x:c>
      <x:c r="L11" s="57" t="str">
        <x:v>EIU Democracy Index 2025 overall score reported in a secondary cross-country time-series table; the supplied EIU summary does not publish the Peru country table.</x:v>
      </x:c>
      <x:c r="M11" s="57" t="str">
        <x:v>EIU, Democracy Index 2025, Latin America and the Caribbean, Figure 14 / p. 24.</x:v>
      </x:c>
      <x:c r="N11" s="57" t="str">
        <x:v>EIU, Democracy Index 2025, Figure 14 / p. 24.</x:v>
      </x:c>
      <x:c r="O11" s="57" t="n">
        <x:v>76</x:v>
      </x:c>
      <x:c r="P11" s="57" t="str">
        <x:v>secondary_reported_aggregate</x:v>
      </x:c>
    </x:row>
  </x:sheetData>
  <x:mergeCells>
    <x:mergeCell ref="A1:P1"/>
    <x:mergeCell ref="A2:P2"/>
  </x:mergeCells>
  <x:pageMargins left="0.7" right="0.7" top="0.75" bottom="0.75" header="0.3" footer="0.3"/>
  <x:drawing xmlns:r="http://schemas.openxmlformats.org/officeDocument/2006/relationships" r:id="R565be84f31e645b3"/>
  <x:tableParts count="1">
    <x:tablePart xmlns:r="http://schemas.openxmlformats.org/officeDocument/2006/relationships" r:id="Reaa6f16679f245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44" hidden="0" customWidth="1"/>
    <x:col min="11" max="11" width="44" hidden="0" customWidth="1"/>
    <x:col min="12" max="12" width="44" hidden="0" customWidth="1"/>
    <x:col min="13" max="13" width="26" hidden="0" customWidth="1"/>
    <x:col min="14" max="14" width="26" hidden="0" customWidth="1"/>
    <x:col min="15" max="15" width="26" hidden="0" customWidth="1"/>
  </x:cols>
  <x:sheetData>
    <x:row r="1" ht="19.200000762939453" hidden="0" customHeight="1">
      <x:c r="A1" s="3" t="str">
        <x:v>Dimensiones 2020–2025</x:v>
      </x:c>
      <x:c r="B1" s="3" t="str">
        <x:v>Dimensiones 2020–2025</x:v>
      </x:c>
      <x:c r="C1" s="3" t="str">
        <x:v>Dimensiones 2020–2025</x:v>
      </x:c>
      <x:c r="D1" s="3" t="str">
        <x:v>Dimensiones 2020–2025</x:v>
      </x:c>
      <x:c r="E1" s="3" t="str">
        <x:v>Dimensiones 2020–2025</x:v>
      </x:c>
      <x:c r="F1" s="3" t="str">
        <x:v>Dimensiones 2020–2025</x:v>
      </x:c>
      <x:c r="G1" s="3" t="str">
        <x:v>Dimensiones 2020–2025</x:v>
      </x:c>
      <x:c r="H1" s="3" t="str">
        <x:v>Dimensiones 2020–2025</x:v>
      </x:c>
      <x:c r="I1" s="3" t="str">
        <x:v>Dimensiones 2020–2025</x:v>
      </x:c>
      <x:c r="J1" s="3" t="str">
        <x:v>Dimensiones 2020–2025</x:v>
      </x:c>
      <x:c r="K1" s="3" t="str">
        <x:v>Dimensiones 2020–2025</x:v>
      </x:c>
      <x:c r="L1" s="3" t="str">
        <x:v>Dimensiones 2020–2025</x:v>
      </x:c>
      <x:c r="M1" s="3" t="str">
        <x:v>Dimensiones 2020–2025</x:v>
      </x:c>
      <x:c r="N1" s="3" t="str">
        <x:v>Dimensiones 2020–2025</x:v>
      </x:c>
      <x:c r="O1" s="3" t="str">
        <x:v>Dimensiones 2020–2025</x:v>
      </x:c>
    </x:row>
    <x:row r="2" ht="15" hidden="0" customHeight="1">
      <x:c r="A2" s="7" t="str">
        <x:v>2020–2024: valores observados de las ediciones EIU. 2025 Perú: ancla central latente modelada; no es un subpuntaje oficial publicado por EIU.</x:v>
      </x:c>
      <x:c r="B2" s="7" t="str">
        <x:v>2020–2024: valores observados de las ediciones EIU. 2025 Perú: ancla central latente modelada; no es un subpuntaje oficial publicado por EIU.</x:v>
      </x:c>
      <x:c r="C2" s="7" t="str">
        <x:v>2020–2024: valores observados de las ediciones EIU. 2025 Perú: ancla central latente modelada; no es un subpuntaje oficial publicado por EIU.</x:v>
      </x:c>
      <x:c r="D2" s="7" t="str">
        <x:v>2020–2024: valores observados de las ediciones EIU. 2025 Perú: ancla central latente modelada; no es un subpuntaje oficial publicado por EIU.</x:v>
      </x:c>
      <x:c r="E2" s="7" t="str">
        <x:v>2020–2024: valores observados de las ediciones EIU. 2025 Perú: ancla central latente modelada; no es un subpuntaje oficial publicado por EIU.</x:v>
      </x:c>
      <x:c r="F2" s="7" t="str">
        <x:v>2020–2024: valores observados de las ediciones EIU. 2025 Perú: ancla central latente modelada; no es un subpuntaje oficial publicado por EIU.</x:v>
      </x:c>
      <x:c r="G2" s="7" t="str">
        <x:v>2020–2024: valores observados de las ediciones EIU. 2025 Perú: ancla central latente modelada; no es un subpuntaje oficial publicado por EIU.</x:v>
      </x:c>
      <x:c r="H2" s="7" t="str">
        <x:v>2020–2024: valores observados de las ediciones EIU. 2025 Perú: ancla central latente modelada; no es un subpuntaje oficial publicado por EIU.</x:v>
      </x:c>
      <x:c r="I2" s="7" t="str">
        <x:v>2020–2024: valores observados de las ediciones EIU. 2025 Perú: ancla central latente modelada; no es un subpuntaje oficial publicado por EIU.</x:v>
      </x:c>
      <x:c r="J2" s="7" t="str">
        <x:v>2020–2024: valores observados de las ediciones EIU. 2025 Perú: ancla central latente modelada; no es un subpuntaje oficial publicado por EIU.</x:v>
      </x:c>
      <x:c r="K2" s="7" t="str">
        <x:v>2020–2024: valores observados de las ediciones EIU. 2025 Perú: ancla central latente modelada; no es un subpuntaje oficial publicado por EIU.</x:v>
      </x:c>
      <x:c r="L2" s="7" t="str">
        <x:v>2020–2024: valores observados de las ediciones EIU. 2025 Perú: ancla central latente modelada; no es un subpuntaje oficial publicado por EIU.</x:v>
      </x:c>
      <x:c r="M2" s="7" t="str">
        <x:v>2020–2024: valores observados de las ediciones EIU. 2025 Perú: ancla central latente modelada; no es un subpuntaje oficial publicado por EIU.</x:v>
      </x:c>
      <x:c r="N2" s="7" t="str">
        <x:v>2020–2024: valores observados de las ediciones EIU. 2025 Perú: ancla central latente modelada; no es un subpuntaje oficial publicado por EIU.</x:v>
      </x:c>
      <x:c r="O2" s="7" t="str">
        <x:v>2020–2024: valores observados de las ediciones EIU. 2025 Perú: ancla central latente modelada; no es un subpuntaje oficial publicado por EIU.</x:v>
      </x:c>
    </x:row>
    <x:row r="3" ht="15" hidden="0" customHeight="1">
      <x:c r="A3" s="8"/>
      <x:c r="B3" s="8"/>
      <x:c r="C3" s="8"/>
      <x:c r="D3" s="8"/>
      <x:c r="E3" s="8"/>
      <x:c r="F3" s="8"/>
      <x:c r="G3" s="8"/>
      <x:c r="H3" s="8"/>
      <x:c r="I3" s="8"/>
      <x:c r="J3" s="8"/>
      <x:c r="K3" s="8"/>
      <x:c r="L3" s="8"/>
      <x:c r="M3" s="8"/>
      <x:c r="N3" s="8"/>
      <x:c r="O3" s="8"/>
    </x:row>
    <x:row r="4"/>
    <x:row r="5" ht="15" hidden="0" customHeight="1">
      <x:c r="A5" s="14" t="str">
        <x:v>year</x:v>
      </x:c>
      <x:c r="B5" s="14" t="str">
        <x:v>category</x:v>
      </x:c>
      <x:c r="C5" s="14" t="str">
        <x:v>category_full</x:v>
      </x:c>
      <x:c r="D5" s="14" t="str">
        <x:v>peru_score</x:v>
      </x:c>
      <x:c r="E5" s="14" t="str">
        <x:v>latin_america_score</x:v>
      </x:c>
      <x:c r="F5" s="14" t="str">
        <x:v>world_score</x:v>
      </x:c>
      <x:c r="G5" s="14" t="str">
        <x:v>peru_minus_latam</x:v>
      </x:c>
      <x:c r="H5" s="14" t="str">
        <x:v>peru_minus_world</x:v>
      </x:c>
      <x:c r="I5" s="14" t="str">
        <x:v>latam_minus_world</x:v>
      </x:c>
      <x:c r="J5" s="14" t="str">
        <x:v>source_peru</x:v>
      </x:c>
      <x:c r="K5" s="14" t="str">
        <x:v>source_latam</x:v>
      </x:c>
      <x:c r="L5" s="14" t="str">
        <x:v>source_world</x:v>
      </x:c>
      <x:c r="M5" s="14" t="str">
        <x:v>data_status_peru</x:v>
      </x:c>
      <x:c r="N5" s="14" t="str">
        <x:v>data_status_latam</x:v>
      </x:c>
      <x:c r="O5" s="14" t="str">
        <x:v>data_status_world</x:v>
      </x:c>
    </x:row>
    <x:row r="6" ht="15" hidden="0" customHeight="1">
      <x:c r="A6" s="59" t="n">
        <x:v>2020</x:v>
      </x:c>
      <x:c r="B6" s="58" t="str">
        <x:v>Libertades civiles</x:v>
      </x:c>
      <x:c r="C6" s="58" t="str">
        <x:v>Civil liberties</x:v>
      </x:c>
      <x:c r="D6" s="59" t="n">
        <x:v>7.35</x:v>
      </x:c>
      <x:c r="E6" s="59" t="n">
        <x:v>6.79</x:v>
      </x:c>
      <x:c r="F6" s="59" t="n">
        <x:v>5.56</x:v>
      </x:c>
      <x:c r="G6" s="59" t="n">
        <x:v>0.56</x:v>
      </x:c>
      <x:c r="H6" s="59" t="n">
        <x:v>1.79</x:v>
      </x:c>
      <x:c r="I6" s="59" t="n">
        <x:v>1.23</x:v>
      </x:c>
      <x:c r="J6" s="58" t="str">
        <x:v>EIU, Democracy Index 2020, Table 8, p. 37</x:v>
      </x:c>
      <x:c r="K6" s="58" t="str">
        <x:v>EIU, Democracy Index 2020, Chart 7/Table 8, p. 37</x:v>
      </x:c>
      <x:c r="L6" s="58" t="str">
        <x:v>EIU, Democracy Index 2020, overview + Chart 7, pp. 3–4, 37</x:v>
      </x:c>
      <x:c r="M6" s="58" t="str">
        <x:v>observed_EIU</x:v>
      </x:c>
      <x:c r="N6" s="58" t="str">
        <x:v>observed_EIU</x:v>
      </x:c>
      <x:c r="O6" s="58" t="str">
        <x:v>observed_EIU</x:v>
      </x:c>
    </x:row>
    <x:row r="7" ht="15" hidden="0" customHeight="1">
      <x:c r="A7" s="60" t="n">
        <x:v>2020</x:v>
      </x:c>
      <x:c r="B7" s="57" t="str">
        <x:v>Proceso electoral</x:v>
      </x:c>
      <x:c r="C7" s="57" t="str">
        <x:v>Electoral process and pluralism</x:v>
      </x:c>
      <x:c r="D7" s="60" t="n">
        <x:v>8.75</x:v>
      </x:c>
      <x:c r="E7" s="60" t="n">
        <x:v>7.48</x:v>
      </x:c>
      <x:c r="F7" s="60" t="n">
        <x:v>5.18</x:v>
      </x:c>
      <x:c r="G7" s="60" t="n">
        <x:v>1.27</x:v>
      </x:c>
      <x:c r="H7" s="60" t="n">
        <x:v>3.57</x:v>
      </x:c>
      <x:c r="I7" s="60" t="n">
        <x:v>2.3</x:v>
      </x:c>
      <x:c r="J7" s="57" t="str">
        <x:v>EIU, Democracy Index 2020, Table 8, p. 37</x:v>
      </x:c>
      <x:c r="K7" s="57" t="str">
        <x:v>EIU, Democracy Index 2020, Chart 7/Table 8, p. 37</x:v>
      </x:c>
      <x:c r="L7" s="57" t="str">
        <x:v>EIU, Democracy Index 2020, overview + Chart 7, pp. 3–4, 37</x:v>
      </x:c>
      <x:c r="M7" s="57" t="str">
        <x:v>observed_EIU</x:v>
      </x:c>
      <x:c r="N7" s="57" t="str">
        <x:v>observed_EIU</x:v>
      </x:c>
      <x:c r="O7" s="57" t="str">
        <x:v>observed_EIU</x:v>
      </x:c>
    </x:row>
    <x:row r="8" ht="15" hidden="0" customHeight="1">
      <x:c r="A8" s="59" t="n">
        <x:v>2020</x:v>
      </x:c>
      <x:c r="B8" s="58" t="str">
        <x:v>Gobierno</x:v>
      </x:c>
      <x:c r="C8" s="58" t="str">
        <x:v>Functioning of government</x:v>
      </x:c>
      <x:c r="D8" s="59" t="n">
        <x:v>5.36</x:v>
      </x:c>
      <x:c r="E8" s="59" t="n">
        <x:v>5.21</x:v>
      </x:c>
      <x:c r="F8" s="59" t="n">
        <x:v>5.42</x:v>
      </x:c>
      <x:c r="G8" s="59" t="n">
        <x:v>0.15</x:v>
      </x:c>
      <x:c r="H8" s="59" t="n">
        <x:v>-0.06</x:v>
      </x:c>
      <x:c r="I8" s="59" t="n">
        <x:v>-0.21</x:v>
      </x:c>
      <x:c r="J8" s="58" t="str">
        <x:v>EIU, Democracy Index 2020, Table 8, p. 37</x:v>
      </x:c>
      <x:c r="K8" s="58" t="str">
        <x:v>EIU, Democracy Index 2020, Chart 7/Table 8, p. 37</x:v>
      </x:c>
      <x:c r="L8" s="58" t="str">
        <x:v>EIU, Democracy Index 2020, overview + Chart 7, pp. 3–4, 37</x:v>
      </x:c>
      <x:c r="M8" s="58" t="str">
        <x:v>observed_EIU</x:v>
      </x:c>
      <x:c r="N8" s="58" t="str">
        <x:v>observed_EIU</x:v>
      </x:c>
      <x:c r="O8" s="58" t="str">
        <x:v>observed_EIU</x:v>
      </x:c>
    </x:row>
    <x:row r="9" ht="15" hidden="0" customHeight="1">
      <x:c r="A9" s="60" t="n">
        <x:v>2020</x:v>
      </x:c>
      <x:c r="B9" s="57" t="str">
        <x:v>Cultura política</x:v>
      </x:c>
      <x:c r="C9" s="57" t="str">
        <x:v>Political culture</x:v>
      </x:c>
      <x:c r="D9" s="60" t="n">
        <x:v>5.63</x:v>
      </x:c>
      <x:c r="E9" s="60" t="n">
        <x:v>4.71</x:v>
      </x:c>
      <x:c r="F9" s="60" t="n">
        <x:v>5.79</x:v>
      </x:c>
      <x:c r="G9" s="60" t="n">
        <x:v>0.92</x:v>
      </x:c>
      <x:c r="H9" s="60" t="n">
        <x:v>-0.16</x:v>
      </x:c>
      <x:c r="I9" s="60" t="n">
        <x:v>-1.08</x:v>
      </x:c>
      <x:c r="J9" s="57" t="str">
        <x:v>EIU, Democracy Index 2020, Table 8, p. 37</x:v>
      </x:c>
      <x:c r="K9" s="57" t="str">
        <x:v>EIU, Democracy Index 2020, Chart 7/Table 8, p. 37</x:v>
      </x:c>
      <x:c r="L9" s="57" t="str">
        <x:v>EIU, Democracy Index 2020, overview + Chart 7, pp. 3–4, 37</x:v>
      </x:c>
      <x:c r="M9" s="57" t="str">
        <x:v>observed_EIU</x:v>
      </x:c>
      <x:c r="N9" s="57" t="str">
        <x:v>observed_EIU</x:v>
      </x:c>
      <x:c r="O9" s="57" t="str">
        <x:v>observed_EIU</x:v>
      </x:c>
    </x:row>
    <x:row r="10" ht="15" hidden="0" customHeight="1">
      <x:c r="A10" s="59" t="n">
        <x:v>2020</x:v>
      </x:c>
      <x:c r="B10" s="58" t="str">
        <x:v>Participación</x:v>
      </x:c>
      <x:c r="C10" s="58" t="str">
        <x:v>Political participation</x:v>
      </x:c>
      <x:c r="D10" s="59" t="n">
        <x:v>5.56</x:v>
      </x:c>
      <x:c r="E10" s="59" t="n">
        <x:v>5.81</x:v>
      </x:c>
      <x:c r="F10" s="59" t="n">
        <x:v>5.52</x:v>
      </x:c>
      <x:c r="G10" s="59" t="n">
        <x:v>-0.25</x:v>
      </x:c>
      <x:c r="H10" s="59" t="n">
        <x:v>0.04</x:v>
      </x:c>
      <x:c r="I10" s="59" t="n">
        <x:v>0.29</x:v>
      </x:c>
      <x:c r="J10" s="58" t="str">
        <x:v>EIU, Democracy Index 2020, Table 8, p. 37</x:v>
      </x:c>
      <x:c r="K10" s="58" t="str">
        <x:v>EIU, Democracy Index 2020, Chart 7/Table 8, p. 37</x:v>
      </x:c>
      <x:c r="L10" s="58" t="str">
        <x:v>EIU, Democracy Index 2020, overview + Chart 7, pp. 3–4, 37</x:v>
      </x:c>
      <x:c r="M10" s="58" t="str">
        <x:v>observed_EIU</x:v>
      </x:c>
      <x:c r="N10" s="58" t="str">
        <x:v>observed_EIU</x:v>
      </x:c>
      <x:c r="O10" s="58" t="str">
        <x:v>observed_EIU</x:v>
      </x:c>
    </x:row>
    <x:row r="11" ht="15" hidden="0" customHeight="1">
      <x:c r="A11" s="60" t="n">
        <x:v>2021</x:v>
      </x:c>
      <x:c r="B11" s="57" t="str">
        <x:v>Libertades civiles</x:v>
      </x:c>
      <x:c r="C11" s="57" t="str">
        <x:v>Civil liberties</x:v>
      </x:c>
      <x:c r="D11" s="60" t="n">
        <x:v>7.06</x:v>
      </x:c>
      <x:c r="E11" s="60" t="n">
        <x:v>6.64</x:v>
      </x:c>
      <x:c r="F11" s="60" t="n">
        <x:v>5.35</x:v>
      </x:c>
      <x:c r="G11" s="60" t="n">
        <x:v>0.42</x:v>
      </x:c>
      <x:c r="H11" s="60" t="n">
        <x:v>1.71</x:v>
      </x:c>
      <x:c r="I11" s="60" t="n">
        <x:v>1.29</x:v>
      </x:c>
      <x:c r="J11" s="57" t="str">
        <x:v>EIU, Democracy Index 2021, Table 8, p. 49</x:v>
      </x:c>
      <x:c r="K11" s="57" t="str">
        <x:v>EIU, Democracy Index 2021, category chart, pp. 48–49</x:v>
      </x:c>
      <x:c r="L11" s="57" t="str">
        <x:v>EIU, Democracy Index 2021, category chart, pp. 48–49</x:v>
      </x:c>
      <x:c r="M11" s="57" t="str">
        <x:v>observed_EIU</x:v>
      </x:c>
      <x:c r="N11" s="57" t="str">
        <x:v>observed_EIU</x:v>
      </x:c>
      <x:c r="O11" s="57" t="str">
        <x:v>observed_EIU</x:v>
      </x:c>
    </x:row>
    <x:row r="12" ht="15" hidden="0" customHeight="1">
      <x:c r="A12" s="59" t="n">
        <x:v>2021</x:v>
      </x:c>
      <x:c r="B12" s="58" t="str">
        <x:v>Proceso electoral</x:v>
      </x:c>
      <x:c r="C12" s="58" t="str">
        <x:v>Electoral process and pluralism</x:v>
      </x:c>
      <x:c r="D12" s="59" t="n">
        <x:v>8.75</x:v>
      </x:c>
      <x:c r="E12" s="59" t="n">
        <x:v>7.35</x:v>
      </x:c>
      <x:c r="F12" s="59" t="n">
        <x:v>5.6</x:v>
      </x:c>
      <x:c r="G12" s="59" t="n">
        <x:v>1.4</x:v>
      </x:c>
      <x:c r="H12" s="59" t="n">
        <x:v>3.15</x:v>
      </x:c>
      <x:c r="I12" s="59" t="n">
        <x:v>1.75</x:v>
      </x:c>
      <x:c r="J12" s="58" t="str">
        <x:v>EIU, Democracy Index 2021, Table 8, p. 49</x:v>
      </x:c>
      <x:c r="K12" s="58" t="str">
        <x:v>EIU, Democracy Index 2021, category chart, pp. 48–49</x:v>
      </x:c>
      <x:c r="L12" s="58" t="str">
        <x:v>EIU, Democracy Index 2021, category chart, pp. 48–49</x:v>
      </x:c>
      <x:c r="M12" s="58" t="str">
        <x:v>observed_EIU</x:v>
      </x:c>
      <x:c r="N12" s="58" t="str">
        <x:v>observed_EIU</x:v>
      </x:c>
      <x:c r="O12" s="58" t="str">
        <x:v>observed_EIU</x:v>
      </x:c>
    </x:row>
    <x:row r="13" ht="15" hidden="0" customHeight="1">
      <x:c r="A13" s="60" t="n">
        <x:v>2021</x:v>
      </x:c>
      <x:c r="B13" s="57" t="str">
        <x:v>Gobierno</x:v>
      </x:c>
      <x:c r="C13" s="57" t="str">
        <x:v>Functioning of government</x:v>
      </x:c>
      <x:c r="D13" s="60" t="n">
        <x:v>5.36</x:v>
      </x:c>
      <x:c r="E13" s="60" t="n">
        <x:v>5.03</x:v>
      </x:c>
      <x:c r="F13" s="60" t="n">
        <x:v>4.62</x:v>
      </x:c>
      <x:c r="G13" s="60" t="n">
        <x:v>0.33</x:v>
      </x:c>
      <x:c r="H13" s="60" t="n">
        <x:v>0.74</x:v>
      </x:c>
      <x:c r="I13" s="60" t="n">
        <x:v>0.41</x:v>
      </x:c>
      <x:c r="J13" s="57" t="str">
        <x:v>EIU, Democracy Index 2021, Table 8, p. 49</x:v>
      </x:c>
      <x:c r="K13" s="57" t="str">
        <x:v>EIU, Democracy Index 2021, category chart, pp. 48–49</x:v>
      </x:c>
      <x:c r="L13" s="57" t="str">
        <x:v>EIU, Democracy Index 2021, category chart, pp. 48–49</x:v>
      </x:c>
      <x:c r="M13" s="57" t="str">
        <x:v>observed_EIU</x:v>
      </x:c>
      <x:c r="N13" s="57" t="str">
        <x:v>observed_EIU</x:v>
      </x:c>
      <x:c r="O13" s="57" t="str">
        <x:v>observed_EIU</x:v>
      </x:c>
    </x:row>
    <x:row r="14" ht="15" hidden="0" customHeight="1">
      <x:c r="A14" s="59" t="n">
        <x:v>2021</x:v>
      </x:c>
      <x:c r="B14" s="58" t="str">
        <x:v>Cultura política</x:v>
      </x:c>
      <x:c r="C14" s="58" t="str">
        <x:v>Political culture</x:v>
      </x:c>
      <x:c r="D14" s="59" t="n">
        <x:v>3.75</x:v>
      </x:c>
      <x:c r="E14" s="59" t="n">
        <x:v>4.53</x:v>
      </x:c>
      <x:c r="F14" s="59" t="n">
        <x:v>5.36</x:v>
      </x:c>
      <x:c r="G14" s="59" t="n">
        <x:v>-0.78</x:v>
      </x:c>
      <x:c r="H14" s="59" t="n">
        <x:v>-1.61</x:v>
      </x:c>
      <x:c r="I14" s="59" t="n">
        <x:v>-0.83</x:v>
      </x:c>
      <x:c r="J14" s="58" t="str">
        <x:v>EIU, Democracy Index 2021, Table 8, p. 49</x:v>
      </x:c>
      <x:c r="K14" s="58" t="str">
        <x:v>EIU, Democracy Index 2021, category chart, pp. 48–49</x:v>
      </x:c>
      <x:c r="L14" s="58" t="str">
        <x:v>EIU, Democracy Index 2021, category chart, pp. 48–49</x:v>
      </x:c>
      <x:c r="M14" s="58" t="str">
        <x:v>observed_EIU</x:v>
      </x:c>
      <x:c r="N14" s="58" t="str">
        <x:v>observed_EIU</x:v>
      </x:c>
      <x:c r="O14" s="58" t="str">
        <x:v>observed_EIU</x:v>
      </x:c>
    </x:row>
    <x:row r="15" ht="15" hidden="0" customHeight="1">
      <x:c r="A15" s="60" t="n">
        <x:v>2021</x:v>
      </x:c>
      <x:c r="B15" s="57" t="str">
        <x:v>Participación</x:v>
      </x:c>
      <x:c r="C15" s="57" t="str">
        <x:v>Political participation</x:v>
      </x:c>
      <x:c r="D15" s="60" t="n">
        <x:v>5.56</x:v>
      </x:c>
      <x:c r="E15" s="60" t="n">
        <x:v>5.58</x:v>
      </x:c>
      <x:c r="F15" s="60" t="n">
        <x:v>5.37</x:v>
      </x:c>
      <x:c r="G15" s="60" t="n">
        <x:v>-0.02</x:v>
      </x:c>
      <x:c r="H15" s="60" t="n">
        <x:v>0.19</x:v>
      </x:c>
      <x:c r="I15" s="60" t="n">
        <x:v>0.21</x:v>
      </x:c>
      <x:c r="J15" s="57" t="str">
        <x:v>EIU, Democracy Index 2021, Table 8, p. 49</x:v>
      </x:c>
      <x:c r="K15" s="57" t="str">
        <x:v>EIU, Democracy Index 2021, category chart, pp. 48–49</x:v>
      </x:c>
      <x:c r="L15" s="57" t="str">
        <x:v>EIU, Democracy Index 2021, category chart, pp. 48–49</x:v>
      </x:c>
      <x:c r="M15" s="57" t="str">
        <x:v>observed_EIU</x:v>
      </x:c>
      <x:c r="N15" s="57" t="str">
        <x:v>observed_EIU</x:v>
      </x:c>
      <x:c r="O15" s="57" t="str">
        <x:v>observed_EIU</x:v>
      </x:c>
    </x:row>
    <x:row r="16" ht="15" hidden="0" customHeight="1">
      <x:c r="A16" s="59" t="n">
        <x:v>2022</x:v>
      </x:c>
      <x:c r="B16" s="58" t="str">
        <x:v>Libertades civiles</x:v>
      </x:c>
      <x:c r="C16" s="58" t="str">
        <x:v>Civil liberties</x:v>
      </x:c>
      <x:c r="D16" s="59" t="n">
        <x:v>6.47</x:v>
      </x:c>
      <x:c r="E16" s="59" t="n">
        <x:v>6.61</x:v>
      </x:c>
      <x:c r="F16" s="59" t="n">
        <x:v>5.43</x:v>
      </x:c>
      <x:c r="G16" s="59" t="n">
        <x:v>-0.14</x:v>
      </x:c>
      <x:c r="H16" s="59" t="n">
        <x:v>1.04</x:v>
      </x:c>
      <x:c r="I16" s="59" t="n">
        <x:v>1.18</x:v>
      </x:c>
      <x:c r="J16" s="58" t="str">
        <x:v>EIU, Democracy Index 2022, Table 8, pp. 43–44</x:v>
      </x:c>
      <x:c r="K16" s="58" t="str">
        <x:v>EIU, Democracy Index 2022, category chart, pp. 43–45</x:v>
      </x:c>
      <x:c r="L16" s="58" t="str">
        <x:v>EIU, Democracy Index 2022, overview + chart, pp. 3–7, 43–45</x:v>
      </x:c>
      <x:c r="M16" s="58" t="str">
        <x:v>observed_EIU</x:v>
      </x:c>
      <x:c r="N16" s="58" t="str">
        <x:v>observed_EIU</x:v>
      </x:c>
      <x:c r="O16" s="58" t="str">
        <x:v>observed_EIU</x:v>
      </x:c>
    </x:row>
    <x:row r="17" ht="15" hidden="0" customHeight="1">
      <x:c r="A17" s="60" t="n">
        <x:v>2022</x:v>
      </x:c>
      <x:c r="B17" s="57" t="str">
        <x:v>Proceso electoral</x:v>
      </x:c>
      <x:c r="C17" s="57" t="str">
        <x:v>Electoral process and pluralism</x:v>
      </x:c>
      <x:c r="D17" s="60" t="n">
        <x:v>8.75</x:v>
      </x:c>
      <x:c r="E17" s="60" t="n">
        <x:v>7.19</x:v>
      </x:c>
      <x:c r="F17" s="60" t="n">
        <x:v>5.59</x:v>
      </x:c>
      <x:c r="G17" s="60" t="n">
        <x:v>1.56</x:v>
      </x:c>
      <x:c r="H17" s="60" t="n">
        <x:v>3.16</x:v>
      </x:c>
      <x:c r="I17" s="60" t="n">
        <x:v>1.6</x:v>
      </x:c>
      <x:c r="J17" s="57" t="str">
        <x:v>EIU, Democracy Index 2022, Table 8, pp. 43–44</x:v>
      </x:c>
      <x:c r="K17" s="57" t="str">
        <x:v>EIU, Democracy Index 2022, category chart, pp. 43–45</x:v>
      </x:c>
      <x:c r="L17" s="57" t="str">
        <x:v>EIU, Democracy Index 2022, overview + chart, pp. 3–7, 43–45</x:v>
      </x:c>
      <x:c r="M17" s="57" t="str">
        <x:v>observed_EIU</x:v>
      </x:c>
      <x:c r="N17" s="57" t="str">
        <x:v>observed_EIU</x:v>
      </x:c>
      <x:c r="O17" s="57" t="str">
        <x:v>observed_EIU</x:v>
      </x:c>
    </x:row>
    <x:row r="18" ht="15" hidden="0" customHeight="1">
      <x:c r="A18" s="59" t="n">
        <x:v>2022</x:v>
      </x:c>
      <x:c r="B18" s="58" t="str">
        <x:v>Gobierno</x:v>
      </x:c>
      <x:c r="C18" s="58" t="str">
        <x:v>Functioning of government</x:v>
      </x:c>
      <x:c r="D18" s="59" t="n">
        <x:v>5.71</x:v>
      </x:c>
      <x:c r="E18" s="59" t="n">
        <x:v>5.07</x:v>
      </x:c>
      <x:c r="F18" s="59" t="n">
        <x:v>4.7</x:v>
      </x:c>
      <x:c r="G18" s="59" t="n">
        <x:v>0.64</x:v>
      </x:c>
      <x:c r="H18" s="59" t="n">
        <x:v>1.01</x:v>
      </x:c>
      <x:c r="I18" s="59" t="n">
        <x:v>0.37</x:v>
      </x:c>
      <x:c r="J18" s="58" t="str">
        <x:v>EIU, Democracy Index 2022, Table 8, pp. 43–44</x:v>
      </x:c>
      <x:c r="K18" s="58" t="str">
        <x:v>EIU, Democracy Index 2022, category chart, pp. 43–45</x:v>
      </x:c>
      <x:c r="L18" s="58" t="str">
        <x:v>EIU, Democracy Index 2022, overview + chart, pp. 3–7, 43–45</x:v>
      </x:c>
      <x:c r="M18" s="58" t="str">
        <x:v>observed_EIU</x:v>
      </x:c>
      <x:c r="N18" s="58" t="str">
        <x:v>observed_EIU</x:v>
      </x:c>
      <x:c r="O18" s="58" t="str">
        <x:v>observed_EIU</x:v>
      </x:c>
    </x:row>
    <x:row r="19" ht="15" hidden="0" customHeight="1">
      <x:c r="A19" s="60" t="n">
        <x:v>2022</x:v>
      </x:c>
      <x:c r="B19" s="57" t="str">
        <x:v>Cultura política</x:v>
      </x:c>
      <x:c r="C19" s="57" t="str">
        <x:v>Political culture</x:v>
      </x:c>
      <x:c r="D19" s="60" t="n">
        <x:v>3.13</x:v>
      </x:c>
      <x:c r="E19" s="60" t="n">
        <x:v>4.11</x:v>
      </x:c>
      <x:c r="F19" s="60" t="n">
        <x:v>5.32</x:v>
      </x:c>
      <x:c r="G19" s="60" t="n">
        <x:v>-0.98</x:v>
      </x:c>
      <x:c r="H19" s="60" t="n">
        <x:v>-2.19</x:v>
      </x:c>
      <x:c r="I19" s="60" t="n">
        <x:v>-1.21</x:v>
      </x:c>
      <x:c r="J19" s="57" t="str">
        <x:v>EIU, Democracy Index 2022, Table 8, pp. 43–44</x:v>
      </x:c>
      <x:c r="K19" s="57" t="str">
        <x:v>EIU, Democracy Index 2022, category chart, pp. 43–45</x:v>
      </x:c>
      <x:c r="L19" s="57" t="str">
        <x:v>EIU, Democracy Index 2022, overview + chart, pp. 3–7, 43–45</x:v>
      </x:c>
      <x:c r="M19" s="57" t="str">
        <x:v>observed_EIU</x:v>
      </x:c>
      <x:c r="N19" s="57" t="str">
        <x:v>observed_EIU</x:v>
      </x:c>
      <x:c r="O19" s="57" t="str">
        <x:v>observed_EIU</x:v>
      </x:c>
    </x:row>
    <x:row r="20" ht="15" hidden="0" customHeight="1">
      <x:c r="A20" s="59" t="n">
        <x:v>2022</x:v>
      </x:c>
      <x:c r="B20" s="58" t="str">
        <x:v>Participación</x:v>
      </x:c>
      <x:c r="C20" s="58" t="str">
        <x:v>Political participation</x:v>
      </x:c>
      <x:c r="D20" s="59" t="n">
        <x:v>5.56</x:v>
      </x:c>
      <x:c r="E20" s="59" t="n">
        <x:v>5.97</x:v>
      </x:c>
      <x:c r="F20" s="59" t="n">
        <x:v>5.44</x:v>
      </x:c>
      <x:c r="G20" s="59" t="n">
        <x:v>-0.41</x:v>
      </x:c>
      <x:c r="H20" s="59" t="n">
        <x:v>0.12</x:v>
      </x:c>
      <x:c r="I20" s="59" t="n">
        <x:v>0.53</x:v>
      </x:c>
      <x:c r="J20" s="58" t="str">
        <x:v>EIU, Democracy Index 2022, Table 8, pp. 43–44</x:v>
      </x:c>
      <x:c r="K20" s="58" t="str">
        <x:v>EIU, Democracy Index 2022, category chart, pp. 43–45</x:v>
      </x:c>
      <x:c r="L20" s="58" t="str">
        <x:v>EIU, Democracy Index 2022, overview + chart, pp. 3–7, 43–45</x:v>
      </x:c>
      <x:c r="M20" s="58" t="str">
        <x:v>observed_EIU</x:v>
      </x:c>
      <x:c r="N20" s="58" t="str">
        <x:v>observed_EIU</x:v>
      </x:c>
      <x:c r="O20" s="58" t="str">
        <x:v>observed_EIU</x:v>
      </x:c>
    </x:row>
    <x:row r="21" ht="15" hidden="0" customHeight="1">
      <x:c r="A21" s="60" t="n">
        <x:v>2023</x:v>
      </x:c>
      <x:c r="B21" s="57" t="str">
        <x:v>Libertades civiles</x:v>
      </x:c>
      <x:c r="C21" s="57" t="str">
        <x:v>Civil liberties</x:v>
      </x:c>
      <x:c r="D21" s="60" t="n">
        <x:v>6.47</x:v>
      </x:c>
      <x:c r="E21" s="60" t="n">
        <x:v>6.54</x:v>
      </x:c>
      <x:c r="F21" s="60" t="n">
        <x:v>5.39</x:v>
      </x:c>
      <x:c r="G21" s="60" t="n">
        <x:v>-0.07</x:v>
      </x:c>
      <x:c r="H21" s="60" t="n">
        <x:v>1.08</x:v>
      </x:c>
      <x:c r="I21" s="60" t="n">
        <x:v>1.15</x:v>
      </x:c>
      <x:c r="J21" s="57" t="str">
        <x:v>EIU, Democracy Index 2023, Table 2, p. 13</x:v>
      </x:c>
      <x:c r="K21" s="57" t="str">
        <x:v>EIU, Democracy Index 2023, category chart, pp. 45–46</x:v>
      </x:c>
      <x:c r="L21" s="57" t="str">
        <x:v>EIU, Democracy Index 2023, overview + chart, pp. 3–5, 45–46</x:v>
      </x:c>
      <x:c r="M21" s="57" t="str">
        <x:v>observed_EIU</x:v>
      </x:c>
      <x:c r="N21" s="57" t="str">
        <x:v>observed_EIU</x:v>
      </x:c>
      <x:c r="O21" s="57" t="str">
        <x:v>observed_EIU</x:v>
      </x:c>
    </x:row>
    <x:row r="22" ht="15" hidden="0" customHeight="1">
      <x:c r="A22" s="59" t="n">
        <x:v>2023</x:v>
      </x:c>
      <x:c r="B22" s="58" t="str">
        <x:v>Proceso electoral</x:v>
      </x:c>
      <x:c r="C22" s="58" t="str">
        <x:v>Electoral process and pluralism</x:v>
      </x:c>
      <x:c r="D22" s="59" t="n">
        <x:v>8.75</x:v>
      </x:c>
      <x:c r="E22" s="59" t="n">
        <x:v>7.07</x:v>
      </x:c>
      <x:c r="F22" s="59" t="n">
        <x:v>5.49</x:v>
      </x:c>
      <x:c r="G22" s="59" t="n">
        <x:v>1.68</x:v>
      </x:c>
      <x:c r="H22" s="59" t="n">
        <x:v>3.26</x:v>
      </x:c>
      <x:c r="I22" s="59" t="n">
        <x:v>1.58</x:v>
      </x:c>
      <x:c r="J22" s="58" t="str">
        <x:v>EIU, Democracy Index 2023, Table 2, p. 13</x:v>
      </x:c>
      <x:c r="K22" s="58" t="str">
        <x:v>EIU, Democracy Index 2023, category chart, pp. 45–46</x:v>
      </x:c>
      <x:c r="L22" s="58" t="str">
        <x:v>EIU, Democracy Index 2023, overview + chart, pp. 3–5, 45–46</x:v>
      </x:c>
      <x:c r="M22" s="58" t="str">
        <x:v>observed_EIU</x:v>
      </x:c>
      <x:c r="N22" s="58" t="str">
        <x:v>observed_EIU</x:v>
      </x:c>
      <x:c r="O22" s="58" t="str">
        <x:v>observed_EIU</x:v>
      </x:c>
    </x:row>
    <x:row r="23" ht="15" hidden="0" customHeight="1">
      <x:c r="A23" s="60" t="n">
        <x:v>2023</x:v>
      </x:c>
      <x:c r="B23" s="57" t="str">
        <x:v>Gobierno</x:v>
      </x:c>
      <x:c r="C23" s="57" t="str">
        <x:v>Functioning of government</x:v>
      </x:c>
      <x:c r="D23" s="60" t="n">
        <x:v>5.71</x:v>
      </x:c>
      <x:c r="E23" s="60" t="n">
        <x:v>5.04</x:v>
      </x:c>
      <x:c r="F23" s="60" t="n">
        <x:v>4.66</x:v>
      </x:c>
      <x:c r="G23" s="60" t="n">
        <x:v>0.67</x:v>
      </x:c>
      <x:c r="H23" s="60" t="n">
        <x:v>1.05</x:v>
      </x:c>
      <x:c r="I23" s="60" t="n">
        <x:v>0.38</x:v>
      </x:c>
      <x:c r="J23" s="57" t="str">
        <x:v>EIU, Democracy Index 2023, Table 2, p. 13</x:v>
      </x:c>
      <x:c r="K23" s="57" t="str">
        <x:v>EIU, Democracy Index 2023, category chart, pp. 45–46</x:v>
      </x:c>
      <x:c r="L23" s="57" t="str">
        <x:v>EIU, Democracy Index 2023, overview + chart, pp. 3–5, 45–46</x:v>
      </x:c>
      <x:c r="M23" s="57" t="str">
        <x:v>observed_EIU</x:v>
      </x:c>
      <x:c r="N23" s="57" t="str">
        <x:v>observed_EIU</x:v>
      </x:c>
      <x:c r="O23" s="57" t="str">
        <x:v>observed_EIU</x:v>
      </x:c>
    </x:row>
    <x:row r="24" ht="15" hidden="0" customHeight="1">
      <x:c r="A24" s="59" t="n">
        <x:v>2023</x:v>
      </x:c>
      <x:c r="B24" s="58" t="str">
        <x:v>Cultura política</x:v>
      </x:c>
      <x:c r="C24" s="58" t="str">
        <x:v>Political culture</x:v>
      </x:c>
      <x:c r="D24" s="59" t="n">
        <x:v>3.13</x:v>
      </x:c>
      <x:c r="E24" s="59" t="n">
        <x:v>4.01</x:v>
      </x:c>
      <x:c r="F24" s="59" t="n">
        <x:v>5.24</x:v>
      </x:c>
      <x:c r="G24" s="59" t="n">
        <x:v>-0.88</x:v>
      </x:c>
      <x:c r="H24" s="59" t="n">
        <x:v>-2.11</x:v>
      </x:c>
      <x:c r="I24" s="59" t="n">
        <x:v>-1.23</x:v>
      </x:c>
      <x:c r="J24" s="58" t="str">
        <x:v>EIU, Democracy Index 2023, Table 2, p. 13</x:v>
      </x:c>
      <x:c r="K24" s="58" t="str">
        <x:v>EIU, Democracy Index 2023, category chart, pp. 45–46</x:v>
      </x:c>
      <x:c r="L24" s="58" t="str">
        <x:v>EIU, Democracy Index 2023, overview + chart, pp. 3–5, 45–46</x:v>
      </x:c>
      <x:c r="M24" s="58" t="str">
        <x:v>observed_EIU</x:v>
      </x:c>
      <x:c r="N24" s="58" t="str">
        <x:v>observed_EIU</x:v>
      </x:c>
      <x:c r="O24" s="58" t="str">
        <x:v>observed_EIU</x:v>
      </x:c>
    </x:row>
    <x:row r="25" ht="15" hidden="0" customHeight="1">
      <x:c r="A25" s="60" t="n">
        <x:v>2023</x:v>
      </x:c>
      <x:c r="B25" s="57" t="str">
        <x:v>Participación</x:v>
      </x:c>
      <x:c r="C25" s="57" t="str">
        <x:v>Political participation</x:v>
      </x:c>
      <x:c r="D25" s="60" t="n">
        <x:v>5</x:v>
      </x:c>
      <x:c r="E25" s="60" t="n">
        <x:v>5.72</x:v>
      </x:c>
      <x:c r="F25" s="60" t="n">
        <x:v>5.34</x:v>
      </x:c>
      <x:c r="G25" s="60" t="n">
        <x:v>-0.72</x:v>
      </x:c>
      <x:c r="H25" s="60" t="n">
        <x:v>-0.34</x:v>
      </x:c>
      <x:c r="I25" s="60" t="n">
        <x:v>0.38</x:v>
      </x:c>
      <x:c r="J25" s="57" t="str">
        <x:v>EIU, Democracy Index 2023, Table 2, p. 13</x:v>
      </x:c>
      <x:c r="K25" s="57" t="str">
        <x:v>EIU, Democracy Index 2023, category chart, pp. 45–46</x:v>
      </x:c>
      <x:c r="L25" s="57" t="str">
        <x:v>EIU, Democracy Index 2023, overview + chart, pp. 3–5, 45–46</x:v>
      </x:c>
      <x:c r="M25" s="57" t="str">
        <x:v>observed_EIU</x:v>
      </x:c>
      <x:c r="N25" s="57" t="str">
        <x:v>observed_EIU</x:v>
      </x:c>
      <x:c r="O25" s="57" t="str">
        <x:v>observed_EIU</x:v>
      </x:c>
    </x:row>
    <x:row r="26" ht="15" hidden="0" customHeight="1">
      <x:c r="A26" s="59" t="n">
        <x:v>2024</x:v>
      </x:c>
      <x:c r="B26" s="58" t="str">
        <x:v>Libertades civiles</x:v>
      </x:c>
      <x:c r="C26" s="58" t="str">
        <x:v>Civil liberties</x:v>
      </x:c>
      <x:c r="D26" s="59" t="n">
        <x:v>6.47</x:v>
      </x:c>
      <x:c r="E26" s="59" t="n">
        <x:v>6.43</x:v>
      </x:c>
      <x:c r="F26" s="59" t="n">
        <x:v>5.35</x:v>
      </x:c>
      <x:c r="G26" s="59" t="n">
        <x:v>0.04</x:v>
      </x:c>
      <x:c r="H26" s="59" t="n">
        <x:v>1.12</x:v>
      </x:c>
      <x:c r="I26" s="59" t="n">
        <x:v>1.08</x:v>
      </x:c>
      <x:c r="J26" s="58" t="str">
        <x:v>EIU, Democracy Index 2024, Table 2, p. 18 / Table 6, p. 54</x:v>
      </x:c>
      <x:c r="K26" s="58" t="str">
        <x:v>EIU, Democracy Index 2024, Table 6, pp. 53–54</x:v>
      </x:c>
      <x:c r="L26" s="58" t="str">
        <x:v>EIU, Democracy Index 2024, overview + category chart, pp. 6–12, 43</x:v>
      </x:c>
      <x:c r="M26" s="58" t="str">
        <x:v>observed_EIU</x:v>
      </x:c>
      <x:c r="N26" s="58" t="str">
        <x:v>observed_EIU</x:v>
      </x:c>
      <x:c r="O26" s="58" t="str">
        <x:v>observed_EIU</x:v>
      </x:c>
    </x:row>
    <x:row r="27" ht="15" hidden="0" customHeight="1">
      <x:c r="A27" s="60" t="n">
        <x:v>2024</x:v>
      </x:c>
      <x:c r="B27" s="57" t="str">
        <x:v>Proceso electoral</x:v>
      </x:c>
      <x:c r="C27" s="57" t="str">
        <x:v>Electoral process and pluralism</x:v>
      </x:c>
      <x:c r="D27" s="60" t="n">
        <x:v>8.75</x:v>
      </x:c>
      <x:c r="E27" s="60" t="n">
        <x:v>7.03</x:v>
      </x:c>
      <x:c r="F27" s="60" t="n">
        <x:v>5.41</x:v>
      </x:c>
      <x:c r="G27" s="60" t="n">
        <x:v>1.72</x:v>
      </x:c>
      <x:c r="H27" s="60" t="n">
        <x:v>3.34</x:v>
      </x:c>
      <x:c r="I27" s="60" t="n">
        <x:v>1.62</x:v>
      </x:c>
      <x:c r="J27" s="57" t="str">
        <x:v>EIU, Democracy Index 2024, Table 2, p. 18 / Table 6, p. 54</x:v>
      </x:c>
      <x:c r="K27" s="57" t="str">
        <x:v>EIU, Democracy Index 2024, Table 6, pp. 53–54</x:v>
      </x:c>
      <x:c r="L27" s="57" t="str">
        <x:v>EIU, Democracy Index 2024, overview + category chart, pp. 6–12, 43</x:v>
      </x:c>
      <x:c r="M27" s="57" t="str">
        <x:v>observed_EIU</x:v>
      </x:c>
      <x:c r="N27" s="57" t="str">
        <x:v>observed_EIU</x:v>
      </x:c>
      <x:c r="O27" s="57" t="str">
        <x:v>observed_EIU</x:v>
      </x:c>
    </x:row>
    <x:row r="28" ht="15" hidden="0" customHeight="1">
      <x:c r="A28" s="59" t="n">
        <x:v>2024</x:v>
      </x:c>
      <x:c r="B28" s="58" t="str">
        <x:v>Gobierno</x:v>
      </x:c>
      <x:c r="C28" s="58" t="str">
        <x:v>Functioning of government</x:v>
      </x:c>
      <x:c r="D28" s="59" t="n">
        <x:v>5.71</x:v>
      </x:c>
      <x:c r="E28" s="59" t="n">
        <x:v>4.92</x:v>
      </x:c>
      <x:c r="F28" s="59" t="n">
        <x:v>4.53</x:v>
      </x:c>
      <x:c r="G28" s="59" t="n">
        <x:v>0.79</x:v>
      </x:c>
      <x:c r="H28" s="59" t="n">
        <x:v>1.18</x:v>
      </x:c>
      <x:c r="I28" s="59" t="n">
        <x:v>0.39</x:v>
      </x:c>
      <x:c r="J28" s="58" t="str">
        <x:v>EIU, Democracy Index 2024, Table 2, p. 18 / Table 6, p. 54</x:v>
      </x:c>
      <x:c r="K28" s="58" t="str">
        <x:v>EIU, Democracy Index 2024, Table 6, pp. 53–54</x:v>
      </x:c>
      <x:c r="L28" s="58" t="str">
        <x:v>EIU, Democracy Index 2024, overview + category chart, pp. 6–12, 43</x:v>
      </x:c>
      <x:c r="M28" s="58" t="str">
        <x:v>observed_EIU</x:v>
      </x:c>
      <x:c r="N28" s="58" t="str">
        <x:v>observed_EIU</x:v>
      </x:c>
      <x:c r="O28" s="58" t="str">
        <x:v>observed_EIU</x:v>
      </x:c>
    </x:row>
    <x:row r="29" ht="15" hidden="0" customHeight="1">
      <x:c r="A29" s="60" t="n">
        <x:v>2024</x:v>
      </x:c>
      <x:c r="B29" s="57" t="str">
        <x:v>Cultura política</x:v>
      </x:c>
      <x:c r="C29" s="57" t="str">
        <x:v>Political culture</x:v>
      </x:c>
      <x:c r="D29" s="60" t="n">
        <x:v>2.5</x:v>
      </x:c>
      <x:c r="E29" s="60" t="n">
        <x:v>3.91</x:v>
      </x:c>
      <x:c r="F29" s="60" t="n">
        <x:v>5.25</x:v>
      </x:c>
      <x:c r="G29" s="60" t="n">
        <x:v>-1.41</x:v>
      </x:c>
      <x:c r="H29" s="60" t="n">
        <x:v>-2.75</x:v>
      </x:c>
      <x:c r="I29" s="60" t="n">
        <x:v>-1.34</x:v>
      </x:c>
      <x:c r="J29" s="57" t="str">
        <x:v>EIU, Democracy Index 2024, Table 2, p. 18 / Table 6, p. 54</x:v>
      </x:c>
      <x:c r="K29" s="57" t="str">
        <x:v>EIU, Democracy Index 2024, Table 6, pp. 53–54</x:v>
      </x:c>
      <x:c r="L29" s="57" t="str">
        <x:v>EIU, Democracy Index 2024, overview + category chart, pp. 6–12, 43</x:v>
      </x:c>
      <x:c r="M29" s="57" t="str">
        <x:v>observed_EIU</x:v>
      </x:c>
      <x:c r="N29" s="57" t="str">
        <x:v>observed_EIU</x:v>
      </x:c>
      <x:c r="O29" s="57" t="str">
        <x:v>observed_EIU</x:v>
      </x:c>
    </x:row>
    <x:row r="30" ht="15" hidden="0" customHeight="1">
      <x:c r="A30" s="59" t="n">
        <x:v>2024</x:v>
      </x:c>
      <x:c r="B30" s="58" t="str">
        <x:v>Participación</x:v>
      </x:c>
      <x:c r="C30" s="58" t="str">
        <x:v>Political participation</x:v>
      </x:c>
      <x:c r="D30" s="59" t="n">
        <x:v>5</x:v>
      </x:c>
      <x:c r="E30" s="59" t="n">
        <x:v>5.74</x:v>
      </x:c>
      <x:c r="F30" s="59" t="n">
        <x:v>5.33</x:v>
      </x:c>
      <x:c r="G30" s="59" t="n">
        <x:v>-0.74</x:v>
      </x:c>
      <x:c r="H30" s="59" t="n">
        <x:v>-0.33</x:v>
      </x:c>
      <x:c r="I30" s="59" t="n">
        <x:v>0.41</x:v>
      </x:c>
      <x:c r="J30" s="58" t="str">
        <x:v>EIU, Democracy Index 2024, Table 2, p. 18 / Table 6, p. 54</x:v>
      </x:c>
      <x:c r="K30" s="58" t="str">
        <x:v>EIU, Democracy Index 2024, Table 6, pp. 53–54</x:v>
      </x:c>
      <x:c r="L30" s="58" t="str">
        <x:v>EIU, Democracy Index 2024, overview + category chart, pp. 6–12, 43</x:v>
      </x:c>
      <x:c r="M30" s="58" t="str">
        <x:v>observed_EIU</x:v>
      </x:c>
      <x:c r="N30" s="58" t="str">
        <x:v>observed_EIU</x:v>
      </x:c>
      <x:c r="O30" s="58" t="str">
        <x:v>observed_EIU</x:v>
      </x:c>
    </x:row>
    <x:row r="31" ht="15" hidden="0" customHeight="1">
      <x:c r="A31" s="60" t="n">
        <x:v>2025</x:v>
      </x:c>
      <x:c r="B31" s="57" t="str">
        <x:v>Libertades civiles</x:v>
      </x:c>
      <x:c r="C31" s="57" t="str">
        <x:v>Civil liberties</x:v>
      </x:c>
      <x:c r="D31" s="60" t="n">
        <x:v>6.42</x:v>
      </x:c>
      <x:c r="E31" s="60" t="n">
        <x:v>6.3</x:v>
      </x:c>
      <x:c r="F31" s="60" t="n">
        <x:v>5.32</x:v>
      </x:c>
      <x:c r="G31" s="60" t="n">
        <x:v>0.12</x:v>
      </x:c>
      <x:c r="H31" s="60" t="n">
        <x:v>1.1</x:v>
      </x:c>
      <x:c r="I31" s="60" t="n">
        <x:v>0.98</x:v>
      </x:c>
      <x:c r="J31" s="57" t="str">
        <x:v>Central value of a modeled latent anchor ensemble constrained to Peru overall=5.88; NOT an EIU-published Peru sub-pillar value.</x:v>
      </x:c>
      <x:c r="K31" s="57" t="str">
        <x:v>EIU Democracy Index 2025, Figure 14, p. 24.</x:v>
      </x:c>
      <x:c r="L31" s="57" t="str">
        <x:v>EIU Democracy Index 2025, Figure 14, p. 24.</x:v>
      </x:c>
      <x:c r="M31" s="57" t="str">
        <x:v>modeled_latent_central</x:v>
      </x:c>
      <x:c r="N31" s="57" t="str">
        <x:v>official_source_observed</x:v>
      </x:c>
      <x:c r="O31" s="57" t="str">
        <x:v>official_source_observed</x:v>
      </x:c>
    </x:row>
    <x:row r="32" ht="15" hidden="0" customHeight="1">
      <x:c r="A32" s="59" t="n">
        <x:v>2025</x:v>
      </x:c>
      <x:c r="B32" s="58" t="str">
        <x:v>Proceso electoral y pluralismo</x:v>
      </x:c>
      <x:c r="C32" s="58" t="str">
        <x:v>Electoral process and pluralism</x:v>
      </x:c>
      <x:c r="D32" s="59" t="n">
        <x:v>8.88</x:v>
      </x:c>
      <x:c r="E32" s="59" t="n">
        <x:v>7.14</x:v>
      </x:c>
      <x:c r="F32" s="59" t="n">
        <x:v>5.38</x:v>
      </x:c>
      <x:c r="G32" s="59" t="n">
        <x:v>1.74</x:v>
      </x:c>
      <x:c r="H32" s="59" t="n">
        <x:v>3.5</x:v>
      </x:c>
      <x:c r="I32" s="59" t="n">
        <x:v>1.76</x:v>
      </x:c>
      <x:c r="J32" s="58" t="str">
        <x:v>Central value of a modeled latent anchor ensemble constrained to Peru overall=5.88; NOT an EIU-published Peru sub-pillar value.</x:v>
      </x:c>
      <x:c r="K32" s="58" t="str">
        <x:v>EIU Democracy Index 2025, Figure 14, p. 24.</x:v>
      </x:c>
      <x:c r="L32" s="58" t="str">
        <x:v>EIU Democracy Index 2025, Figure 14, p. 24.</x:v>
      </x:c>
      <x:c r="M32" s="58" t="str">
        <x:v>modeled_latent_central</x:v>
      </x:c>
      <x:c r="N32" s="58" t="str">
        <x:v>official_source_observed</x:v>
      </x:c>
      <x:c r="O32" s="58" t="str">
        <x:v>official_source_observed</x:v>
      </x:c>
    </x:row>
    <x:row r="33" ht="15" hidden="0" customHeight="1">
      <x:c r="A33" s="60" t="n">
        <x:v>2025</x:v>
      </x:c>
      <x:c r="B33" s="57" t="str">
        <x:v>Funcionamiento del gobierno</x:v>
      </x:c>
      <x:c r="C33" s="57" t="str">
        <x:v>Functioning of government</x:v>
      </x:c>
      <x:c r="D33" s="60" t="n">
        <x:v>6.03</x:v>
      </x:c>
      <x:c r="E33" s="60" t="n">
        <x:v>5.13</x:v>
      </x:c>
      <x:c r="F33" s="60" t="n">
        <x:v>4.6</x:v>
      </x:c>
      <x:c r="G33" s="60" t="n">
        <x:v>0.9</x:v>
      </x:c>
      <x:c r="H33" s="60" t="n">
        <x:v>1.43</x:v>
      </x:c>
      <x:c r="I33" s="60" t="n">
        <x:v>0.53</x:v>
      </x:c>
      <x:c r="J33" s="57" t="str">
        <x:v>Central value of a modeled latent anchor ensemble constrained to Peru overall=5.88; NOT an EIU-published Peru sub-pillar value.</x:v>
      </x:c>
      <x:c r="K33" s="57" t="str">
        <x:v>EIU Democracy Index 2025, Figure 14, p. 24.</x:v>
      </x:c>
      <x:c r="L33" s="57" t="str">
        <x:v>EIU Democracy Index 2025, Figure 14, p. 24.</x:v>
      </x:c>
      <x:c r="M33" s="57" t="str">
        <x:v>modeled_latent_central</x:v>
      </x:c>
      <x:c r="N33" s="57" t="str">
        <x:v>official_source_observed</x:v>
      </x:c>
      <x:c r="O33" s="57" t="str">
        <x:v>official_source_observed</x:v>
      </x:c>
    </x:row>
    <x:row r="34" ht="15" hidden="0" customHeight="1">
      <x:c r="A34" s="59" t="n">
        <x:v>2025</x:v>
      </x:c>
      <x:c r="B34" s="58" t="str">
        <x:v>Cultura política</x:v>
      </x:c>
      <x:c r="C34" s="58" t="str">
        <x:v>Political culture</x:v>
      </x:c>
      <x:c r="D34" s="59" t="n">
        <x:v>3</x:v>
      </x:c>
      <x:c r="E34" s="59" t="n">
        <x:v>4.3</x:v>
      </x:c>
      <x:c r="F34" s="59" t="n">
        <x:v>5.32</x:v>
      </x:c>
      <x:c r="G34" s="59" t="n">
        <x:v>-1.3</x:v>
      </x:c>
      <x:c r="H34" s="59" t="n">
        <x:v>-2.32</x:v>
      </x:c>
      <x:c r="I34" s="59" t="n">
        <x:v>-1.02</x:v>
      </x:c>
      <x:c r="J34" s="58" t="str">
        <x:v>Central value of a modeled latent anchor ensemble constrained to Peru overall=5.88; NOT an EIU-published Peru sub-pillar value.</x:v>
      </x:c>
      <x:c r="K34" s="58" t="str">
        <x:v>EIU Democracy Index 2025, Figure 14, p. 24.</x:v>
      </x:c>
      <x:c r="L34" s="58" t="str">
        <x:v>EIU Democracy Index 2025, Figure 14, p. 24.</x:v>
      </x:c>
      <x:c r="M34" s="58" t="str">
        <x:v>modeled_latent_central</x:v>
      </x:c>
      <x:c r="N34" s="58" t="str">
        <x:v>official_source_observed</x:v>
      </x:c>
      <x:c r="O34" s="58" t="str">
        <x:v>official_source_observed</x:v>
      </x:c>
    </x:row>
    <x:row r="35" ht="15" hidden="0" customHeight="1">
      <x:c r="A35" s="60" t="n">
        <x:v>2025</x:v>
      </x:c>
      <x:c r="B35" s="57" t="str">
        <x:v>Participación política</x:v>
      </x:c>
      <x:c r="C35" s="57" t="str">
        <x:v>Political participation</x:v>
      </x:c>
      <x:c r="D35" s="60" t="n">
        <x:v>5.07</x:v>
      </x:c>
      <x:c r="E35" s="60" t="n">
        <x:v>5.69</x:v>
      </x:c>
      <x:c r="F35" s="60" t="n">
        <x:v>5.33</x:v>
      </x:c>
      <x:c r="G35" s="60" t="n">
        <x:v>-0.62</x:v>
      </x:c>
      <x:c r="H35" s="60" t="n">
        <x:v>-0.26</x:v>
      </x:c>
      <x:c r="I35" s="60" t="n">
        <x:v>0.36</x:v>
      </x:c>
      <x:c r="J35" s="57" t="str">
        <x:v>Central value of a modeled latent anchor ensemble constrained to Peru overall=5.88; NOT an EIU-published Peru sub-pillar value.</x:v>
      </x:c>
      <x:c r="K35" s="57" t="str">
        <x:v>EIU Democracy Index 2025, Figure 14, p. 24.</x:v>
      </x:c>
      <x:c r="L35" s="57" t="str">
        <x:v>EIU Democracy Index 2025, Figure 14, p. 24.</x:v>
      </x:c>
      <x:c r="M35" s="57" t="str">
        <x:v>modeled_latent_central</x:v>
      </x:c>
      <x:c r="N35" s="57" t="str">
        <x:v>official_source_observed</x:v>
      </x:c>
      <x:c r="O35" s="57" t="str">
        <x:v>official_source_observed</x:v>
      </x:c>
    </x:row>
  </x:sheetData>
  <x:mergeCells>
    <x:mergeCell ref="A1:O1"/>
    <x:mergeCell ref="A2:O2"/>
  </x:mergeCells>
  <x:pageMargins left="0.7" right="0.7" top="0.75" bottom="0.75" header="0.3" footer="0.3"/>
  <x:tableParts count="1">
    <x:tablePart xmlns:r="http://schemas.openxmlformats.org/officeDocument/2006/relationships" r:id="R10f39153e93c47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44" hidden="0" customWidth="1"/>
  </x:cols>
  <x:sheetData>
    <x:row r="1" ht="19.200000762939453" hidden="0" customHeight="1">
      <x:c r="A1" s="3" t="str">
        <x:v>Ancla dimensional latente 2025</x:v>
      </x:c>
      <x:c r="B1" s="3" t="str">
        <x:v>Ancla dimensional latente 2025</x:v>
      </x:c>
      <x:c r="C1" s="3" t="str">
        <x:v>Ancla dimensional latente 2025</x:v>
      </x:c>
      <x:c r="D1" s="3" t="str">
        <x:v>Ancla dimensional latente 2025</x:v>
      </x:c>
      <x:c r="E1" s="3" t="str">
        <x:v>Ancla dimensional latente 2025</x:v>
      </x:c>
      <x:c r="F1" s="3" t="str">
        <x:v>Ancla dimensional latente 2025</x:v>
      </x:c>
      <x:c r="G1" s="3" t="str">
        <x:v>Ancla dimensional latente 2025</x:v>
      </x:c>
      <x:c r="H1" s="3" t="str">
        <x:v>Ancla dimensional latente 2025</x:v>
      </x:c>
      <x:c r="I1" s="3" t="str">
        <x:v>Ancla dimensional latente 2025</x:v>
      </x:c>
      <x:c r="J1" s="3" t="str">
        <x:v>Ancla dimensional latente 2025</x:v>
      </x:c>
      <x:c r="K1" s="3" t="str">
        <x:v>Ancla dimensional latente 2025</x:v>
      </x:c>
      <x:c r="L1" s="3" t="str">
        <x:v>Ancla dimensional latente 2025</x:v>
      </x:c>
      <x:c r="M1" s="3" t="str">
        <x:v>Ancla dimensional latente 2025</x:v>
      </x:c>
    </x:row>
    <x:row r="2" ht="15" hidden="0" customHeight="1">
      <x:c r="A2" s="7" t="str">
        <x:v>Distribución de la composición dimensional condicionada a promedio exacto 5,88. p10–p90 describe incertidumbre de composición, no incertidumbre del agregado.</x:v>
      </x:c>
      <x:c r="B2" s="7" t="str">
        <x:v>Distribución de la composición dimensional condicionada a promedio exacto 5,88. p10–p90 describe incertidumbre de composición, no incertidumbre del agregado.</x:v>
      </x:c>
      <x:c r="C2" s="7" t="str">
        <x:v>Distribución de la composición dimensional condicionada a promedio exacto 5,88. p10–p90 describe incertidumbre de composición, no incertidumbre del agregado.</x:v>
      </x:c>
      <x:c r="D2" s="7" t="str">
        <x:v>Distribución de la composición dimensional condicionada a promedio exacto 5,88. p10–p90 describe incertidumbre de composición, no incertidumbre del agregado.</x:v>
      </x:c>
      <x:c r="E2" s="7" t="str">
        <x:v>Distribución de la composición dimensional condicionada a promedio exacto 5,88. p10–p90 describe incertidumbre de composición, no incertidumbre del agregado.</x:v>
      </x:c>
      <x:c r="F2" s="7" t="str">
        <x:v>Distribución de la composición dimensional condicionada a promedio exacto 5,88. p10–p90 describe incertidumbre de composición, no incertidumbre del agregado.</x:v>
      </x:c>
      <x:c r="G2" s="7" t="str">
        <x:v>Distribución de la composición dimensional condicionada a promedio exacto 5,88. p10–p90 describe incertidumbre de composición, no incertidumbre del agregado.</x:v>
      </x:c>
      <x:c r="H2" s="7" t="str">
        <x:v>Distribución de la composición dimensional condicionada a promedio exacto 5,88. p10–p90 describe incertidumbre de composición, no incertidumbre del agregado.</x:v>
      </x:c>
      <x:c r="I2" s="7" t="str">
        <x:v>Distribución de la composición dimensional condicionada a promedio exacto 5,88. p10–p90 describe incertidumbre de composición, no incertidumbre del agregado.</x:v>
      </x:c>
      <x:c r="J2" s="7" t="str">
        <x:v>Distribución de la composición dimensional condicionada a promedio exacto 5,88. p10–p90 describe incertidumbre de composición, no incertidumbre del agregado.</x:v>
      </x:c>
      <x:c r="K2" s="7" t="str">
        <x:v>Distribución de la composición dimensional condicionada a promedio exacto 5,88. p10–p90 describe incertidumbre de composición, no incertidumbre del agregado.</x:v>
      </x:c>
      <x:c r="L2" s="7" t="str">
        <x:v>Distribución de la composición dimensional condicionada a promedio exacto 5,88. p10–p90 describe incertidumbre de composición, no incertidumbre del agregado.</x:v>
      </x:c>
      <x:c r="M2" s="7" t="str">
        <x:v>Distribución de la composición dimensional condicionada a promedio exacto 5,88. p10–p90 describe incertidumbre de composición, no incertidumbre del agregado.</x:v>
      </x:c>
    </x:row>
    <x:row r="3" ht="15" hidden="0" customHeight="1">
      <x:c r="A3" s="8"/>
      <x:c r="B3" s="8"/>
      <x:c r="C3" s="8"/>
      <x:c r="D3" s="8"/>
      <x:c r="E3" s="8"/>
      <x:c r="F3" s="8"/>
      <x:c r="G3" s="8"/>
      <x:c r="H3" s="8"/>
      <x:c r="I3" s="8"/>
      <x:c r="J3" s="8"/>
      <x:c r="K3" s="8"/>
      <x:c r="L3" s="8"/>
      <x:c r="M3" s="8"/>
    </x:row>
    <x:row r="4"/>
    <x:row r="5" ht="15" hidden="0" customHeight="1">
      <x:c r="A5" s="14" t="str">
        <x:v>category_full</x:v>
      </x:c>
      <x:c r="B5" s="14" t="str">
        <x:v>category_es</x:v>
      </x:c>
      <x:c r="C5" s="14" t="str">
        <x:v>peru_2024_official_source_observed</x:v>
      </x:c>
      <x:c r="D5" s="14" t="str">
        <x:v>central_anchor_2025</x:v>
      </x:c>
      <x:c r="E5" s="14" t="str">
        <x:v>anchor_sigma</x:v>
      </x:c>
      <x:c r="F5" s="14" t="str">
        <x:v>admissible_low</x:v>
      </x:c>
      <x:c r="G5" s="14" t="str">
        <x:v>p10</x:v>
      </x:c>
      <x:c r="H5" s="14" t="str">
        <x:v>p50</x:v>
      </x:c>
      <x:c r="I5" s="14" t="str">
        <x:v>p90</x:v>
      </x:c>
      <x:c r="J5" s="14" t="str">
        <x:v>admissible_high</x:v>
      </x:c>
      <x:c r="K5" s="14" t="str">
        <x:v>overall_constraint</x:v>
      </x:c>
      <x:c r="L5" s="14" t="str">
        <x:v>data_status</x:v>
      </x:c>
      <x:c r="M5" s="14" t="str">
        <x:v>interpretation</x:v>
      </x:c>
    </x:row>
    <x:row r="6" ht="15" hidden="0" customHeight="1">
      <x:c r="A6" s="58" t="str">
        <x:v>Electoral process and pluralism</x:v>
      </x:c>
      <x:c r="B6" s="58" t="str">
        <x:v>Proceso electoral y pluralismo</x:v>
      </x:c>
      <x:c r="C6" s="59" t="n">
        <x:v>8.75</x:v>
      </x:c>
      <x:c r="D6" s="59" t="n">
        <x:v>8.88</x:v>
      </x:c>
      <x:c r="E6" s="59" t="n">
        <x:v>0.08</x:v>
      </x:c>
      <x:c r="F6" s="59" t="n">
        <x:v>8.72</x:v>
      </x:c>
      <x:c r="G6" s="59" t="n">
        <x:v>8.772</x:v>
      </x:c>
      <x:c r="H6" s="59" t="n">
        <x:v>8.8794</x:v>
      </x:c>
      <x:c r="I6" s="59" t="n">
        <x:v>8.9874</x:v>
      </x:c>
      <x:c r="J6" s="59" t="n">
        <x:v>9.04</x:v>
      </x:c>
      <x:c r="K6" s="59" t="n">
        <x:v>5.88</x:v>
      </x:c>
      <x:c r="L6" s="58" t="str">
        <x:v>modeled_latent_ensemble</x:v>
      </x:c>
      <x:c r="M6" s="58" t="str">
        <x:v>Uncertainty in dimensional composition; not an official EIU Peru sub-score.</x:v>
      </x:c>
    </x:row>
    <x:row r="7" ht="15" hidden="0" customHeight="1">
      <x:c r="A7" s="57" t="str">
        <x:v>Functioning of government</x:v>
      </x:c>
      <x:c r="B7" s="57" t="str">
        <x:v>Funcionamiento del gobierno</x:v>
      </x:c>
      <x:c r="C7" s="60" t="n">
        <x:v>5.71</x:v>
      </x:c>
      <x:c r="D7" s="60" t="n">
        <x:v>6.03</x:v>
      </x:c>
      <x:c r="E7" s="60" t="n">
        <x:v>0.0875</x:v>
      </x:c>
      <x:c r="F7" s="60" t="n">
        <x:v>5.855</x:v>
      </x:c>
      <x:c r="G7" s="60" t="n">
        <x:v>5.9135</x:v>
      </x:c>
      <x:c r="H7" s="60" t="n">
        <x:v>6.0301</x:v>
      </x:c>
      <x:c r="I7" s="60" t="n">
        <x:v>6.1432</x:v>
      </x:c>
      <x:c r="J7" s="60" t="n">
        <x:v>6.205</x:v>
      </x:c>
      <x:c r="K7" s="60" t="n">
        <x:v>5.88</x:v>
      </x:c>
      <x:c r="L7" s="57" t="str">
        <x:v>modeled_latent_ensemble</x:v>
      </x:c>
      <x:c r="M7" s="57" t="str">
        <x:v>Uncertainty in dimensional composition; not an official EIU Peru sub-score.</x:v>
      </x:c>
    </x:row>
    <x:row r="8" ht="15" hidden="0" customHeight="1">
      <x:c r="A8" s="58" t="str">
        <x:v>Political participation</x:v>
      </x:c>
      <x:c r="B8" s="58" t="str">
        <x:v>Participación política</x:v>
      </x:c>
      <x:c r="C8" s="59" t="n">
        <x:v>5</x:v>
      </x:c>
      <x:c r="D8" s="59" t="n">
        <x:v>5.07</x:v>
      </x:c>
      <x:c r="E8" s="59" t="n">
        <x:v>0.14</x:v>
      </x:c>
      <x:c r="F8" s="59" t="n">
        <x:v>4.79</x:v>
      </x:c>
      <x:c r="G8" s="59" t="n">
        <x:v>4.9057</x:v>
      </x:c>
      <x:c r="H8" s="59" t="n">
        <x:v>5.0703</x:v>
      </x:c>
      <x:c r="I8" s="59" t="n">
        <x:v>5.2371</x:v>
      </x:c>
      <x:c r="J8" s="59" t="n">
        <x:v>5.35</x:v>
      </x:c>
      <x:c r="K8" s="59" t="n">
        <x:v>5.88</x:v>
      </x:c>
      <x:c r="L8" s="58" t="str">
        <x:v>modeled_latent_ensemble</x:v>
      </x:c>
      <x:c r="M8" s="58" t="str">
        <x:v>Uncertainty in dimensional composition; not an official EIU Peru sub-score.</x:v>
      </x:c>
    </x:row>
    <x:row r="9" ht="15" hidden="0" customHeight="1">
      <x:c r="A9" s="57" t="str">
        <x:v>Political culture</x:v>
      </x:c>
      <x:c r="B9" s="57" t="str">
        <x:v>Cultura política</x:v>
      </x:c>
      <x:c r="C9" s="60" t="n">
        <x:v>2.5</x:v>
      </x:c>
      <x:c r="D9" s="60" t="n">
        <x:v>3</x:v>
      </x:c>
      <x:c r="E9" s="60" t="n">
        <x:v>0.3944</x:v>
      </x:c>
      <x:c r="F9" s="60" t="n">
        <x:v>2.2112</x:v>
      </x:c>
      <x:c r="G9" s="60" t="n">
        <x:v>2.692</x:v>
      </x:c>
      <x:c r="H9" s="60" t="n">
        <x:v>2.9988</x:v>
      </x:c>
      <x:c r="I9" s="60" t="n">
        <x:v>3.3075</x:v>
      </x:c>
      <x:c r="J9" s="60" t="n">
        <x:v>3.7888</x:v>
      </x:c>
      <x:c r="K9" s="60" t="n">
        <x:v>5.88</x:v>
      </x:c>
      <x:c r="L9" s="57" t="str">
        <x:v>modeled_latent_ensemble</x:v>
      </x:c>
      <x:c r="M9" s="57" t="str">
        <x:v>Uncertainty in dimensional composition; not an official EIU Peru sub-score.</x:v>
      </x:c>
    </x:row>
    <x:row r="10" ht="15" hidden="0" customHeight="1">
      <x:c r="A10" s="58" t="str">
        <x:v>Civil liberties</x:v>
      </x:c>
      <x:c r="B10" s="58" t="str">
        <x:v>Libertades civiles</x:v>
      </x:c>
      <x:c r="C10" s="59" t="n">
        <x:v>6.47</x:v>
      </x:c>
      <x:c r="D10" s="59" t="n">
        <x:v>6.42</x:v>
      </x:c>
      <x:c r="E10" s="59" t="n">
        <x:v>0.141</x:v>
      </x:c>
      <x:c r="F10" s="59" t="n">
        <x:v>6.138</x:v>
      </x:c>
      <x:c r="G10" s="59" t="n">
        <x:v>6.2518</x:v>
      </x:c>
      <x:c r="H10" s="59" t="n">
        <x:v>6.4218</x:v>
      </x:c>
      <x:c r="I10" s="59" t="n">
        <x:v>6.586</x:v>
      </x:c>
      <x:c r="J10" s="59" t="n">
        <x:v>6.702</x:v>
      </x:c>
      <x:c r="K10" s="59" t="n">
        <x:v>5.88</x:v>
      </x:c>
      <x:c r="L10" s="58" t="str">
        <x:v>modeled_latent_ensemble</x:v>
      </x:c>
      <x:c r="M10" s="58" t="str">
        <x:v>Uncertainty in dimensional composition; not an official EIU Peru sub-score.</x:v>
      </x:c>
    </x:row>
  </x:sheetData>
  <x:mergeCells>
    <x:mergeCell ref="A1:M1"/>
    <x:mergeCell ref="A2:M2"/>
  </x:mergeCells>
  <x:pageMargins left="0.7" right="0.7" top="0.75" bottom="0.75" header="0.3" footer="0.3"/>
  <x:tableParts count="1">
    <x:tablePart xmlns:r="http://schemas.openxmlformats.org/officeDocument/2006/relationships" r:id="Rabdb367cac78470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19.200000762939453" hidden="0" customHeight="1">
      <x:c r="A1" s="3" t="str">
        <x:v>Muestra del ensamble latente 2025</x:v>
      </x:c>
      <x:c r="B1" s="3" t="str">
        <x:v>Muestra del ensamble latente 2025</x:v>
      </x:c>
      <x:c r="C1" s="3" t="str">
        <x:v>Muestra del ensamble latente 2025</x:v>
      </x:c>
      <x:c r="D1" s="3" t="str">
        <x:v>Muestra del ensamble latente 2025</x:v>
      </x:c>
      <x:c r="E1" s="3" t="str">
        <x:v>Muestra del ensamble latente 2025</x:v>
      </x:c>
      <x:c r="F1" s="3" t="str">
        <x:v>Muestra del ensamble latente 2025</x:v>
      </x:c>
      <x:c r="G1" s="3" t="str">
        <x:v>Muestra del ensamble latente 2025</x:v>
      </x:c>
      <x:c r="H1" s="3" t="str">
        <x:v>Muestra del ensamble latente 2025</x:v>
      </x:c>
    </x:row>
    <x:row r="2" ht="15" hidden="0" customHeight="1">
      <x:c r="A2" s="7" t="str">
        <x:v>Primeras 500 de 10.000 realizaciones reproducibles. El ensamble completo está en data/peru_2025_anchor_ensemble.csv; cada fila promedia exactamente 5,88.</x:v>
      </x:c>
      <x:c r="B2" s="7" t="str">
        <x:v>Primeras 500 de 10.000 realizaciones reproducibles. El ensamble completo está en data/peru_2025_anchor_ensemble.csv; cada fila promedia exactamente 5,88.</x:v>
      </x:c>
      <x:c r="C2" s="7" t="str">
        <x:v>Primeras 500 de 10.000 realizaciones reproducibles. El ensamble completo está en data/peru_2025_anchor_ensemble.csv; cada fila promedia exactamente 5,88.</x:v>
      </x:c>
      <x:c r="D2" s="7" t="str">
        <x:v>Primeras 500 de 10.000 realizaciones reproducibles. El ensamble completo está en data/peru_2025_anchor_ensemble.csv; cada fila promedia exactamente 5,88.</x:v>
      </x:c>
      <x:c r="E2" s="7" t="str">
        <x:v>Primeras 500 de 10.000 realizaciones reproducibles. El ensamble completo está en data/peru_2025_anchor_ensemble.csv; cada fila promedia exactamente 5,88.</x:v>
      </x:c>
      <x:c r="F2" s="7" t="str">
        <x:v>Primeras 500 de 10.000 realizaciones reproducibles. El ensamble completo está en data/peru_2025_anchor_ensemble.csv; cada fila promedia exactamente 5,88.</x:v>
      </x:c>
      <x:c r="G2" s="7" t="str">
        <x:v>Primeras 500 de 10.000 realizaciones reproducibles. El ensamble completo está en data/peru_2025_anchor_ensemble.csv; cada fila promedia exactamente 5,88.</x:v>
      </x:c>
      <x:c r="H2" s="7" t="str">
        <x:v>Primeras 500 de 10.000 realizaciones reproducibles. El ensamble completo está en data/peru_2025_anchor_ensemble.csv; cada fila promedia exactamente 5,88.</x:v>
      </x:c>
    </x:row>
    <x:row r="3" ht="15" hidden="0" customHeight="1">
      <x:c r="A3" s="8"/>
      <x:c r="B3" s="8"/>
      <x:c r="C3" s="8"/>
      <x:c r="D3" s="8"/>
      <x:c r="E3" s="8"/>
      <x:c r="F3" s="8"/>
      <x:c r="G3" s="8"/>
      <x:c r="H3" s="8"/>
    </x:row>
    <x:row r="4"/>
    <x:row r="5" ht="15" hidden="0" customHeight="1">
      <x:c r="A5" s="14" t="str">
        <x:v>sample_id</x:v>
      </x:c>
      <x:c r="B5" s="14" t="str">
        <x:v>Proceso electoral y pluralismo</x:v>
      </x:c>
      <x:c r="C5" s="14" t="str">
        <x:v>Funcionamiento del gobierno</x:v>
      </x:c>
      <x:c r="D5" s="14" t="str">
        <x:v>Participación política</x:v>
      </x:c>
      <x:c r="E5" s="14" t="str">
        <x:v>Cultura política</x:v>
      </x:c>
      <x:c r="F5" s="14" t="str">
        <x:v>Libertades civiles</x:v>
      </x:c>
      <x:c r="G5" s="14" t="str">
        <x:v>overall_score</x:v>
      </x:c>
      <x:c r="H5" s="14" t="str">
        <x:v>data_status</x:v>
      </x:c>
    </x:row>
    <x:row r="6" ht="15" hidden="0" customHeight="1">
      <x:c r="A6" s="59" t="n">
        <x:v>1</x:v>
      </x:c>
      <x:c r="B6" s="59" t="n">
        <x:v>8.943143671862574</x:v>
      </x:c>
      <x:c r="C6" s="59" t="n">
        <x:v>6.100182798359855</x:v>
      </x:c>
      <x:c r="D6" s="59" t="n">
        <x:v>5.078338287805713</x:v>
      </x:c>
      <x:c r="E6" s="59" t="n">
        <x:v>2.947244453212089</x:v>
      </x:c>
      <x:c r="F6" s="59" t="n">
        <x:v>6.331090788759771</x:v>
      </x:c>
      <x:c r="G6" s="59" t="n">
        <x:v>5.880000000000001</x:v>
      </x:c>
      <x:c r="H6" s="58" t="str">
        <x:v>modeled_latent_ensemble</x:v>
      </x:c>
    </x:row>
    <x:row r="7" ht="15" hidden="0" customHeight="1">
      <x:c r="A7" s="60" t="n">
        <x:v>2</x:v>
      </x:c>
      <x:c r="B7" s="60" t="n">
        <x:v>8.858625445490912</x:v>
      </x:c>
      <x:c r="C7" s="60" t="n">
        <x:v>5.934543839543722</x:v>
      </x:c>
      <x:c r="D7" s="60" t="n">
        <x:v>5.254835184716809</x:v>
      </x:c>
      <x:c r="E7" s="60" t="n">
        <x:v>2.9611229379487414</x:v>
      </x:c>
      <x:c r="F7" s="60" t="n">
        <x:v>6.390872592299818</x:v>
      </x:c>
      <x:c r="G7" s="60" t="n">
        <x:v>5.88</x:v>
      </x:c>
      <x:c r="H7" s="57" t="str">
        <x:v>modeled_latent_ensemble</x:v>
      </x:c>
    </x:row>
    <x:row r="8" ht="15" hidden="0" customHeight="1">
      <x:c r="A8" s="59" t="n">
        <x:v>3</x:v>
      </x:c>
      <x:c r="B8" s="59" t="n">
        <x:v>8.9790539364426</x:v>
      </x:c>
      <x:c r="C8" s="59" t="n">
        <x:v>6.168023365399154</x:v>
      </x:c>
      <x:c r="D8" s="59" t="n">
        <x:v>5.222891648290099</x:v>
      </x:c>
      <x:c r="E8" s="59" t="n">
        <x:v>2.534451903434375</x:v>
      </x:c>
      <x:c r="F8" s="59" t="n">
        <x:v>6.495579146433773</x:v>
      </x:c>
      <x:c r="G8" s="59" t="n">
        <x:v>5.880000000000001</x:v>
      </x:c>
      <x:c r="H8" s="58" t="str">
        <x:v>modeled_latent_ensemble</x:v>
      </x:c>
    </x:row>
    <x:row r="9" ht="15" hidden="0" customHeight="1">
      <x:c r="A9" s="60" t="n">
        <x:v>4</x:v>
      </x:c>
      <x:c r="B9" s="60" t="n">
        <x:v>8.892396680986652</x:v>
      </x:c>
      <x:c r="C9" s="60" t="n">
        <x:v>5.941012069861758</x:v>
      </x:c>
      <x:c r="D9" s="60" t="n">
        <x:v>4.89708167599304</x:v>
      </x:c>
      <x:c r="E9" s="60" t="n">
        <x:v>3.339307483419288</x:v>
      </x:c>
      <x:c r="F9" s="60" t="n">
        <x:v>6.330202089739263</x:v>
      </x:c>
      <x:c r="G9" s="60" t="n">
        <x:v>5.88</x:v>
      </x:c>
      <x:c r="H9" s="57" t="str">
        <x:v>modeled_latent_ensemble</x:v>
      </x:c>
    </x:row>
    <x:row r="10" ht="15" hidden="0" customHeight="1">
      <x:c r="A10" s="59" t="n">
        <x:v>5</x:v>
      </x:c>
      <x:c r="B10" s="59" t="n">
        <x:v>8.852182436971052</x:v>
      </x:c>
      <x:c r="C10" s="59" t="n">
        <x:v>6.143607557222566</x:v>
      </x:c>
      <x:c r="D10" s="59" t="n">
        <x:v>5.049654017363077</x:v>
      </x:c>
      <x:c r="E10" s="59" t="n">
        <x:v>2.8651530186295884</x:v>
      </x:c>
      <x:c r="F10" s="59" t="n">
        <x:v>6.489402969813718</x:v>
      </x:c>
      <x:c r="G10" s="59" t="n">
        <x:v>5.880000000000001</x:v>
      </x:c>
      <x:c r="H10" s="58" t="str">
        <x:v>modeled_latent_ensemble</x:v>
      </x:c>
    </x:row>
    <x:row r="11" ht="15" hidden="0" customHeight="1">
      <x:c r="A11" s="60" t="n">
        <x:v>6</x:v>
      </x:c>
      <x:c r="B11" s="60" t="n">
        <x:v>8.809733444688439</x:v>
      </x:c>
      <x:c r="C11" s="60" t="n">
        <x:v>5.926050431867982</x:v>
      </x:c>
      <x:c r="D11" s="60" t="n">
        <x:v>5.168420400809297</x:v>
      </x:c>
      <x:c r="E11" s="60" t="n">
        <x:v>3.1250951736633605</x:v>
      </x:c>
      <x:c r="F11" s="60" t="n">
        <x:v>6.370700548970922</x:v>
      </x:c>
      <x:c r="G11" s="60" t="n">
        <x:v>5.880000000000001</x:v>
      </x:c>
      <x:c r="H11" s="57" t="str">
        <x:v>modeled_latent_ensemble</x:v>
      </x:c>
    </x:row>
    <x:row r="12" ht="15" hidden="0" customHeight="1">
      <x:c r="A12" s="59" t="n">
        <x:v>7</x:v>
      </x:c>
      <x:c r="B12" s="59" t="n">
        <x:v>8.79758843553478</x:v>
      </x:c>
      <x:c r="C12" s="59" t="n">
        <x:v>5.897394948438117</x:v>
      </x:c>
      <x:c r="D12" s="59" t="n">
        <x:v>5.084450999371426</x:v>
      </x:c>
      <x:c r="E12" s="59" t="n">
        <x:v>3.352615783997557</x:v>
      </x:c>
      <x:c r="F12" s="59" t="n">
        <x:v>6.26794983265812</x:v>
      </x:c>
      <x:c r="G12" s="59" t="n">
        <x:v>5.88</x:v>
      </x:c>
      <x:c r="H12" s="58" t="str">
        <x:v>modeled_latent_ensemble</x:v>
      </x:c>
    </x:row>
    <x:row r="13" ht="15" hidden="0" customHeight="1">
      <x:c r="A13" s="60" t="n">
        <x:v>8</x:v>
      </x:c>
      <x:c r="B13" s="60" t="n">
        <x:v>8.811775174517136</x:v>
      </x:c>
      <x:c r="C13" s="60" t="n">
        <x:v>5.979388114202222</x:v>
      </x:c>
      <x:c r="D13" s="60" t="n">
        <x:v>4.9563611025177465</x:v>
      </x:c>
      <x:c r="E13" s="60" t="n">
        <x:v>3.0964438756311097</x:v>
      </x:c>
      <x:c r="F13" s="60" t="n">
        <x:v>6.556031733131787</x:v>
      </x:c>
      <x:c r="G13" s="60" t="n">
        <x:v>5.88</x:v>
      </x:c>
      <x:c r="H13" s="57" t="str">
        <x:v>modeled_latent_ensemble</x:v>
      </x:c>
    </x:row>
    <x:row r="14" ht="15" hidden="0" customHeight="1">
      <x:c r="A14" s="59" t="n">
        <x:v>9</x:v>
      </x:c>
      <x:c r="B14" s="59" t="n">
        <x:v>8.843574756424326</x:v>
      </x:c>
      <x:c r="C14" s="59" t="n">
        <x:v>5.9028257905358865</x:v>
      </x:c>
      <x:c r="D14" s="59" t="n">
        <x:v>5.042972443866584</x:v>
      </x:c>
      <x:c r="E14" s="59" t="n">
        <x:v>3.0932548937434325</x:v>
      </x:c>
      <x:c r="F14" s="59" t="n">
        <x:v>6.517372115429772</x:v>
      </x:c>
      <x:c r="G14" s="59" t="n">
        <x:v>5.880000000000001</x:v>
      </x:c>
      <x:c r="H14" s="58" t="str">
        <x:v>modeled_latent_ensemble</x:v>
      </x:c>
    </x:row>
    <x:row r="15" ht="15" hidden="0" customHeight="1">
      <x:c r="A15" s="60" t="n">
        <x:v>10</x:v>
      </x:c>
      <x:c r="B15" s="60" t="n">
        <x:v>8.89373645424451</x:v>
      </x:c>
      <x:c r="C15" s="60" t="n">
        <x:v>5.942208495166821</x:v>
      </x:c>
      <x:c r="D15" s="60" t="n">
        <x:v>5.0852146818366055</x:v>
      </x:c>
      <x:c r="E15" s="60" t="n">
        <x:v>3.015699609207584</x:v>
      </x:c>
      <x:c r="F15" s="60" t="n">
        <x:v>6.463140759544482</x:v>
      </x:c>
      <x:c r="G15" s="60" t="n">
        <x:v>5.880000000000001</x:v>
      </x:c>
      <x:c r="H15" s="57" t="str">
        <x:v>modeled_latent_ensemble</x:v>
      </x:c>
    </x:row>
    <x:row r="16" ht="15" hidden="0" customHeight="1">
      <x:c r="A16" s="59" t="n">
        <x:v>11</x:v>
      </x:c>
      <x:c r="B16" s="59" t="n">
        <x:v>8.957624319172211</x:v>
      </x:c>
      <x:c r="C16" s="59" t="n">
        <x:v>6.045188646553558</x:v>
      </x:c>
      <x:c r="D16" s="59" t="n">
        <x:v>5.162321610167366</x:v>
      </x:c>
      <x:c r="E16" s="59" t="n">
        <x:v>2.77843803918658</x:v>
      </x:c>
      <x:c r="F16" s="59" t="n">
        <x:v>6.4564273849202864</x:v>
      </x:c>
      <x:c r="G16" s="59" t="n">
        <x:v>5.88</x:v>
      </x:c>
      <x:c r="H16" s="58" t="str">
        <x:v>modeled_latent_ensemble</x:v>
      </x:c>
    </x:row>
    <x:row r="17" ht="15" hidden="0" customHeight="1">
      <x:c r="A17" s="60" t="n">
        <x:v>12</x:v>
      </x:c>
      <x:c r="B17" s="60" t="n">
        <x:v>8.793453280794214</x:v>
      </x:c>
      <x:c r="C17" s="60" t="n">
        <x:v>5.92187240394487</x:v>
      </x:c>
      <x:c r="D17" s="60" t="n">
        <x:v>5.07522816662707</x:v>
      </x:c>
      <x:c r="E17" s="60" t="n">
        <x:v>3.1673029158064727</x:v>
      </x:c>
      <x:c r="F17" s="60" t="n">
        <x:v>6.442143232827374</x:v>
      </x:c>
      <x:c r="G17" s="60" t="n">
        <x:v>5.880000000000001</x:v>
      </x:c>
      <x:c r="H17" s="57" t="str">
        <x:v>modeled_latent_ensemble</x:v>
      </x:c>
    </x:row>
    <x:row r="18" ht="15" hidden="0" customHeight="1">
      <x:c r="A18" s="59" t="n">
        <x:v>13</x:v>
      </x:c>
      <x:c r="B18" s="59" t="n">
        <x:v>8.915912706865374</x:v>
      </x:c>
      <x:c r="C18" s="59" t="n">
        <x:v>6.034197288581566</x:v>
      </x:c>
      <x:c r="D18" s="59" t="n">
        <x:v>5.14743933908424</x:v>
      </x:c>
      <x:c r="E18" s="59" t="n">
        <x:v>2.9881068624750684</x:v>
      </x:c>
      <x:c r="F18" s="59" t="n">
        <x:v>6.314343802993753</x:v>
      </x:c>
      <x:c r="G18" s="59" t="n">
        <x:v>5.880000000000001</x:v>
      </x:c>
      <x:c r="H18" s="58" t="str">
        <x:v>modeled_latent_ensemble</x:v>
      </x:c>
    </x:row>
    <x:row r="19" ht="15" hidden="0" customHeight="1">
      <x:c r="A19" s="60" t="n">
        <x:v>14</x:v>
      </x:c>
      <x:c r="B19" s="60" t="n">
        <x:v>8.726318882835688</x:v>
      </x:c>
      <x:c r="C19" s="60" t="n">
        <x:v>6.077672437110867</x:v>
      </x:c>
      <x:c r="D19" s="60" t="n">
        <x:v>4.957441251771433</x:v>
      </x:c>
      <x:c r="E19" s="60" t="n">
        <x:v>3.165450474582737</x:v>
      </x:c>
      <x:c r="F19" s="60" t="n">
        <x:v>6.473116953699276</x:v>
      </x:c>
      <x:c r="G19" s="60" t="n">
        <x:v>5.880000000000001</x:v>
      </x:c>
      <x:c r="H19" s="57" t="str">
        <x:v>modeled_latent_ensemble</x:v>
      </x:c>
    </x:row>
    <x:row r="20" ht="15" hidden="0" customHeight="1">
      <x:c r="A20" s="59" t="n">
        <x:v>15</x:v>
      </x:c>
      <x:c r="B20" s="59" t="n">
        <x:v>8.75758230656861</x:v>
      </x:c>
      <x:c r="C20" s="59" t="n">
        <x:v>6.038314701016969</x:v>
      </x:c>
      <x:c r="D20" s="59" t="n">
        <x:v>5.301116129515139</x:v>
      </x:c>
      <x:c r="E20" s="59" t="n">
        <x:v>2.9287238194077285</x:v>
      </x:c>
      <x:c r="F20" s="59" t="n">
        <x:v>6.374263043491555</x:v>
      </x:c>
      <x:c r="G20" s="59" t="n">
        <x:v>5.880000000000001</x:v>
      </x:c>
      <x:c r="H20" s="58" t="str">
        <x:v>modeled_latent_ensemble</x:v>
      </x:c>
    </x:row>
    <x:row r="21" ht="15" hidden="0" customHeight="1">
      <x:c r="A21" s="60" t="n">
        <x:v>16</x:v>
      </x:c>
      <x:c r="B21" s="60" t="n">
        <x:v>8.795423285738112</x:v>
      </x:c>
      <x:c r="C21" s="60" t="n">
        <x:v>5.969449925956686</x:v>
      </x:c>
      <x:c r="D21" s="60" t="n">
        <x:v>4.8299536341885485</x:v>
      </x:c>
      <x:c r="E21" s="60" t="n">
        <x:v>3.2238763154123724</x:v>
      </x:c>
      <x:c r="F21" s="60" t="n">
        <x:v>6.581296838704282</x:v>
      </x:c>
      <x:c r="G21" s="60" t="n">
        <x:v>5.880000000000001</x:v>
      </x:c>
      <x:c r="H21" s="57" t="str">
        <x:v>modeled_latent_ensemble</x:v>
      </x:c>
    </x:row>
    <x:row r="22" ht="15" hidden="0" customHeight="1">
      <x:c r="A22" s="59" t="n">
        <x:v>17</x:v>
      </x:c>
      <x:c r="B22" s="59" t="n">
        <x:v>8.92659169478168</x:v>
      </x:c>
      <x:c r="C22" s="59" t="n">
        <x:v>5.892972063503474</x:v>
      </x:c>
      <x:c r="D22" s="59" t="n">
        <x:v>5.27399851857065</x:v>
      </x:c>
      <x:c r="E22" s="59" t="n">
        <x:v>2.708724899237559</x:v>
      </x:c>
      <x:c r="F22" s="59" t="n">
        <x:v>6.5977128239066385</x:v>
      </x:c>
      <x:c r="G22" s="59" t="n">
        <x:v>5.88</x:v>
      </x:c>
      <x:c r="H22" s="58" t="str">
        <x:v>modeled_latent_ensemble</x:v>
      </x:c>
    </x:row>
    <x:row r="23" ht="15" hidden="0" customHeight="1">
      <x:c r="A23" s="60" t="n">
        <x:v>18</x:v>
      </x:c>
      <x:c r="B23" s="60" t="n">
        <x:v>8.88206215881202</x:v>
      </x:c>
      <x:c r="C23" s="60" t="n">
        <x:v>6.071421998033771</x:v>
      </x:c>
      <x:c r="D23" s="60" t="n">
        <x:v>5.063597993017585</x:v>
      </x:c>
      <x:c r="E23" s="60" t="n">
        <x:v>2.826327478778171</x:v>
      </x:c>
      <x:c r="F23" s="60" t="n">
        <x:v>6.556590371358452</x:v>
      </x:c>
      <x:c r="G23" s="60" t="n">
        <x:v>5.880000000000001</x:v>
      </x:c>
      <x:c r="H23" s="57" t="str">
        <x:v>modeled_latent_ensemble</x:v>
      </x:c>
    </x:row>
    <x:row r="24" ht="15" hidden="0" customHeight="1">
      <x:c r="A24" s="59" t="n">
        <x:v>19</x:v>
      </x:c>
      <x:c r="B24" s="59" t="n">
        <x:v>8.917770470821793</x:v>
      </x:c>
      <x:c r="C24" s="59" t="n">
        <x:v>5.879357979855637</x:v>
      </x:c>
      <x:c r="D24" s="59" t="n">
        <x:v>4.872083799288404</x:v>
      </x:c>
      <x:c r="E24" s="59" t="n">
        <x:v>3.288794494251756</x:v>
      </x:c>
      <x:c r="F24" s="59" t="n">
        <x:v>6.441993255782411</x:v>
      </x:c>
      <x:c r="G24" s="59" t="n">
        <x:v>5.880000000000001</x:v>
      </x:c>
      <x:c r="H24" s="58" t="str">
        <x:v>modeled_latent_ensemble</x:v>
      </x:c>
    </x:row>
    <x:row r="25" ht="15" hidden="0" customHeight="1">
      <x:c r="A25" s="60" t="n">
        <x:v>20</x:v>
      </x:c>
      <x:c r="B25" s="60" t="n">
        <x:v>8.991472556449894</x:v>
      </x:c>
      <x:c r="C25" s="60" t="n">
        <x:v>6.022060009173279</x:v>
      </x:c>
      <x:c r="D25" s="60" t="n">
        <x:v>5.063789171362939</x:v>
      </x:c>
      <x:c r="E25" s="60" t="n">
        <x:v>3.047761242502046</x:v>
      </x:c>
      <x:c r="F25" s="60" t="n">
        <x:v>6.274917020511844</x:v>
      </x:c>
      <x:c r="G25" s="60" t="n">
        <x:v>5.88</x:v>
      </x:c>
      <x:c r="H25" s="57" t="str">
        <x:v>modeled_latent_ensemble</x:v>
      </x:c>
    </x:row>
    <x:row r="26" ht="15" hidden="0" customHeight="1">
      <x:c r="A26" s="59" t="n">
        <x:v>21</x:v>
      </x:c>
      <x:c r="B26" s="59" t="n">
        <x:v>8.820083274615827</x:v>
      </x:c>
      <x:c r="C26" s="59" t="n">
        <x:v>6.053111899517331</x:v>
      </x:c>
      <x:c r="D26" s="59" t="n">
        <x:v>4.982076657077772</x:v>
      </x:c>
      <x:c r="E26" s="59" t="n">
        <x:v>3.1607273166613785</x:v>
      </x:c>
      <x:c r="F26" s="59" t="n">
        <x:v>6.384000852127692</x:v>
      </x:c>
      <x:c r="G26" s="59" t="n">
        <x:v>5.880000000000001</x:v>
      </x:c>
      <x:c r="H26" s="58" t="str">
        <x:v>modeled_latent_ensemble</x:v>
      </x:c>
    </x:row>
    <x:row r="27" ht="15" hidden="0" customHeight="1">
      <x:c r="A27" s="60" t="n">
        <x:v>22</x:v>
      </x:c>
      <x:c r="B27" s="60" t="n">
        <x:v>8.897273726030535</x:v>
      </x:c>
      <x:c r="C27" s="60" t="n">
        <x:v>5.927019372782373</x:v>
      </x:c>
      <x:c r="D27" s="60" t="n">
        <x:v>5.113373983834077</x:v>
      </x:c>
      <x:c r="E27" s="60" t="n">
        <x:v>3.0170618504189335</x:v>
      </x:c>
      <x:c r="F27" s="60" t="n">
        <x:v>6.445271066934082</x:v>
      </x:c>
      <x:c r="G27" s="60" t="n">
        <x:v>5.880000000000001</x:v>
      </x:c>
      <x:c r="H27" s="57" t="str">
        <x:v>modeled_latent_ensemble</x:v>
      </x:c>
    </x:row>
    <x:row r="28" ht="15" hidden="0" customHeight="1">
      <x:c r="A28" s="59" t="n">
        <x:v>23</x:v>
      </x:c>
      <x:c r="B28" s="59" t="n">
        <x:v>8.774619937183811</x:v>
      </x:c>
      <x:c r="C28" s="59" t="n">
        <x:v>5.969260480085094</x:v>
      </x:c>
      <x:c r="D28" s="59" t="n">
        <x:v>5.142756080206188</x:v>
      </x:c>
      <x:c r="E28" s="59" t="n">
        <x:v>3.1752760102063515</x:v>
      </x:c>
      <x:c r="F28" s="59" t="n">
        <x:v>6.338087492318557</x:v>
      </x:c>
      <x:c r="G28" s="59" t="n">
        <x:v>5.88</x:v>
      </x:c>
      <x:c r="H28" s="58" t="str">
        <x:v>modeled_latent_ensemble</x:v>
      </x:c>
    </x:row>
    <x:row r="29" ht="15" hidden="0" customHeight="1">
      <x:c r="A29" s="60" t="n">
        <x:v>24</x:v>
      </x:c>
      <x:c r="B29" s="60" t="n">
        <x:v>8.887401522829999</x:v>
      </x:c>
      <x:c r="C29" s="60" t="n">
        <x:v>6.0228922546770125</x:v>
      </x:c>
      <x:c r="D29" s="60" t="n">
        <x:v>5.225746279747564</x:v>
      </x:c>
      <x:c r="E29" s="60" t="n">
        <x:v>2.9462523715096682</x:v>
      </x:c>
      <x:c r="F29" s="60" t="n">
        <x:v>6.317707571235758</x:v>
      </x:c>
      <x:c r="G29" s="60" t="n">
        <x:v>5.880000000000001</x:v>
      </x:c>
      <x:c r="H29" s="57" t="str">
        <x:v>modeled_latent_ensemble</x:v>
      </x:c>
    </x:row>
    <x:row r="30" ht="15" hidden="0" customHeight="1">
      <x:c r="A30" s="59" t="n">
        <x:v>25</x:v>
      </x:c>
      <x:c r="B30" s="59" t="n">
        <x:v>8.966951574349201</x:v>
      </x:c>
      <x:c r="C30" s="59" t="n">
        <x:v>6.118656942185661</x:v>
      </x:c>
      <x:c r="D30" s="59" t="n">
        <x:v>5.1345415045918745</x:v>
      </x:c>
      <x:c r="E30" s="59" t="n">
        <x:v>2.7871482558836376</x:v>
      </x:c>
      <x:c r="F30" s="59" t="n">
        <x:v>6.392701722989627</x:v>
      </x:c>
      <x:c r="G30" s="59" t="n">
        <x:v>5.88</x:v>
      </x:c>
      <x:c r="H30" s="58" t="str">
        <x:v>modeled_latent_ensemble</x:v>
      </x:c>
    </x:row>
    <x:row r="31" ht="15" hidden="0" customHeight="1">
      <x:c r="A31" s="60" t="n">
        <x:v>26</x:v>
      </x:c>
      <x:c r="B31" s="60" t="n">
        <x:v>8.904870863221005</x:v>
      </x:c>
      <x:c r="C31" s="60" t="n">
        <x:v>6.19633232588166</x:v>
      </x:c>
      <x:c r="D31" s="60" t="n">
        <x:v>5.226162319869497</x:v>
      </x:c>
      <x:c r="E31" s="60" t="n">
        <x:v>2.735652071707823</x:v>
      </x:c>
      <x:c r="F31" s="60" t="n">
        <x:v>6.336982419320016</x:v>
      </x:c>
      <x:c r="G31" s="60" t="n">
        <x:v>5.880000000000001</x:v>
      </x:c>
      <x:c r="H31" s="57" t="str">
        <x:v>modeled_latent_ensemble</x:v>
      </x:c>
    </x:row>
    <x:row r="32" ht="15" hidden="0" customHeight="1">
      <x:c r="A32" s="59" t="n">
        <x:v>27</x:v>
      </x:c>
      <x:c r="B32" s="59" t="n">
        <x:v>8.884009981646765</x:v>
      </x:c>
      <x:c r="C32" s="59" t="n">
        <x:v>5.945289560803892</x:v>
      </x:c>
      <x:c r="D32" s="59" t="n">
        <x:v>5.025300847017808</x:v>
      </x:c>
      <x:c r="E32" s="59" t="n">
        <x:v>3.0246596966739987</x:v>
      </x:c>
      <x:c r="F32" s="59" t="n">
        <x:v>6.520739913857538</x:v>
      </x:c>
      <x:c r="G32" s="59" t="n">
        <x:v>5.880000000000001</x:v>
      </x:c>
      <x:c r="H32" s="58" t="str">
        <x:v>modeled_latent_ensemble</x:v>
      </x:c>
    </x:row>
    <x:row r="33" ht="15" hidden="0" customHeight="1">
      <x:c r="A33" s="60" t="n">
        <x:v>28</x:v>
      </x:c>
      <x:c r="B33" s="60" t="n">
        <x:v>8.779639322062419</x:v>
      </x:c>
      <x:c r="C33" s="60" t="n">
        <x:v>6.084003651077048</x:v>
      </x:c>
      <x:c r="D33" s="60" t="n">
        <x:v>5.097189073886108</x:v>
      </x:c>
      <x:c r="E33" s="60" t="n">
        <x:v>3.017413982091729</x:v>
      </x:c>
      <x:c r="F33" s="60" t="n">
        <x:v>6.421753970882697</x:v>
      </x:c>
      <x:c r="G33" s="60" t="n">
        <x:v>5.880000000000001</x:v>
      </x:c>
      <x:c r="H33" s="57" t="str">
        <x:v>modeled_latent_ensemble</x:v>
      </x:c>
    </x:row>
    <x:row r="34" ht="15" hidden="0" customHeight="1">
      <x:c r="A34" s="59" t="n">
        <x:v>29</x:v>
      </x:c>
      <x:c r="B34" s="59" t="n">
        <x:v>8.950124269125327</x:v>
      </x:c>
      <x:c r="C34" s="59" t="n">
        <x:v>6.090121550534088</x:v>
      </x:c>
      <x:c r="D34" s="59" t="n">
        <x:v>5.131716047970287</x:v>
      </x:c>
      <x:c r="E34" s="59" t="n">
        <x:v>2.7535799086738892</x:v>
      </x:c>
      <x:c r="F34" s="59" t="n">
        <x:v>6.474458223696409</x:v>
      </x:c>
      <x:c r="G34" s="59" t="n">
        <x:v>5.88</x:v>
      </x:c>
      <x:c r="H34" s="58" t="str">
        <x:v>modeled_latent_ensemble</x:v>
      </x:c>
    </x:row>
    <x:row r="35" ht="15" hidden="0" customHeight="1">
      <x:c r="A35" s="60" t="n">
        <x:v>30</x:v>
      </x:c>
      <x:c r="B35" s="60" t="n">
        <x:v>8.802520799179577</x:v>
      </x:c>
      <x:c r="C35" s="60" t="n">
        <x:v>5.975566119396421</x:v>
      </x:c>
      <x:c r="D35" s="60" t="n">
        <x:v>5.284966510586642</x:v>
      </x:c>
      <x:c r="E35" s="60" t="n">
        <x:v>2.9227796139991735</x:v>
      </x:c>
      <x:c r="F35" s="60" t="n">
        <x:v>6.414166956838187</x:v>
      </x:c>
      <x:c r="G35" s="60" t="n">
        <x:v>5.88</x:v>
      </x:c>
      <x:c r="H35" s="57" t="str">
        <x:v>modeled_latent_ensemble</x:v>
      </x:c>
    </x:row>
    <x:row r="36" ht="15" hidden="0" customHeight="1">
      <x:c r="A36" s="59" t="n">
        <x:v>31</x:v>
      </x:c>
      <x:c r="B36" s="59" t="n">
        <x:v>8.769963135543955</x:v>
      </x:c>
      <x:c r="C36" s="59" t="n">
        <x:v>6.014179901832018</x:v>
      </x:c>
      <x:c r="D36" s="59" t="n">
        <x:v>4.864454514946359</x:v>
      </x:c>
      <x:c r="E36" s="59" t="n">
        <x:v>3.2033784823514617</x:v>
      </x:c>
      <x:c r="F36" s="59" t="n">
        <x:v>6.548023965326207</x:v>
      </x:c>
      <x:c r="G36" s="59" t="n">
        <x:v>5.88</x:v>
      </x:c>
      <x:c r="H36" s="58" t="str">
        <x:v>modeled_latent_ensemble</x:v>
      </x:c>
    </x:row>
    <x:row r="37" ht="15" hidden="0" customHeight="1">
      <x:c r="A37" s="60" t="n">
        <x:v>32</x:v>
      </x:c>
      <x:c r="B37" s="60" t="n">
        <x:v>8.809938807823347</x:v>
      </x:c>
      <x:c r="C37" s="60" t="n">
        <x:v>6.106126822807286</x:v>
      </x:c>
      <x:c r="D37" s="60" t="n">
        <x:v>5.121700292730298</x:v>
      </x:c>
      <x:c r="E37" s="60" t="n">
        <x:v>2.959208515972885</x:v>
      </x:c>
      <x:c r="F37" s="60" t="n">
        <x:v>6.403025560666184</x:v>
      </x:c>
      <x:c r="G37" s="60" t="n">
        <x:v>5.880000000000001</x:v>
      </x:c>
      <x:c r="H37" s="57" t="str">
        <x:v>modeled_latent_ensemble</x:v>
      </x:c>
    </x:row>
    <x:row r="38" ht="15" hidden="0" customHeight="1">
      <x:c r="A38" s="59" t="n">
        <x:v>33</x:v>
      </x:c>
      <x:c r="B38" s="59" t="n">
        <x:v>8.788958809276032</x:v>
      </x:c>
      <x:c r="C38" s="59" t="n">
        <x:v>6.122434816692905</x:v>
      </x:c>
      <x:c r="D38" s="59" t="n">
        <x:v>4.813237547898031</x:v>
      </x:c>
      <x:c r="E38" s="59" t="n">
        <x:v>3.194334792229684</x:v>
      </x:c>
      <x:c r="F38" s="59" t="n">
        <x:v>6.481034033903349</x:v>
      </x:c>
      <x:c r="G38" s="59" t="n">
        <x:v>5.88</x:v>
      </x:c>
      <x:c r="H38" s="58" t="str">
        <x:v>modeled_latent_ensemble</x:v>
      </x:c>
    </x:row>
    <x:row r="39" ht="15" hidden="0" customHeight="1">
      <x:c r="A39" s="60" t="n">
        <x:v>34</x:v>
      </x:c>
      <x:c r="B39" s="60" t="n">
        <x:v>8.899818701656832</x:v>
      </x:c>
      <x:c r="C39" s="60" t="n">
        <x:v>6.019979820962762</x:v>
      </x:c>
      <x:c r="D39" s="60" t="n">
        <x:v>5.055505849205469</x:v>
      </x:c>
      <x:c r="E39" s="60" t="n">
        <x:v>3.19408374022049</x:v>
      </x:c>
      <x:c r="F39" s="60" t="n">
        <x:v>6.230611887954448</x:v>
      </x:c>
      <x:c r="G39" s="60" t="n">
        <x:v>5.88</x:v>
      </x:c>
      <x:c r="H39" s="57" t="str">
        <x:v>modeled_latent_ensemble</x:v>
      </x:c>
    </x:row>
    <x:row r="40" ht="15" hidden="0" customHeight="1">
      <x:c r="A40" s="59" t="n">
        <x:v>35</x:v>
      </x:c>
      <x:c r="B40" s="59" t="n">
        <x:v>8.854236778968465</x:v>
      </x:c>
      <x:c r="C40" s="59" t="n">
        <x:v>6.097423967849861</x:v>
      </x:c>
      <x:c r="D40" s="59" t="n">
        <x:v>4.958682845342915</x:v>
      </x:c>
      <x:c r="E40" s="59" t="n">
        <x:v>3.056378825753457</x:v>
      </x:c>
      <x:c r="F40" s="59" t="n">
        <x:v>6.433277582085303</x:v>
      </x:c>
      <x:c r="G40" s="59" t="n">
        <x:v>5.88</x:v>
      </x:c>
      <x:c r="H40" s="58" t="str">
        <x:v>modeled_latent_ensemble</x:v>
      </x:c>
    </x:row>
    <x:row r="41" ht="15" hidden="0" customHeight="1">
      <x:c r="A41" s="60" t="n">
        <x:v>36</x:v>
      </x:c>
      <x:c r="B41" s="60" t="n">
        <x:v>8.858360880825686</x:v>
      </x:c>
      <x:c r="C41" s="60" t="n">
        <x:v>6.1329809879499635</x:v>
      </x:c>
      <x:c r="D41" s="60" t="n">
        <x:v>5.05557987192858</x:v>
      </x:c>
      <x:c r="E41" s="60" t="n">
        <x:v>2.8906739622311552</x:v>
      </x:c>
      <x:c r="F41" s="60" t="n">
        <x:v>6.462404297064617</x:v>
      </x:c>
      <x:c r="G41" s="60" t="n">
        <x:v>5.88</x:v>
      </x:c>
      <x:c r="H41" s="57" t="str">
        <x:v>modeled_latent_ensemble</x:v>
      </x:c>
    </x:row>
    <x:row r="42" ht="15" hidden="0" customHeight="1">
      <x:c r="A42" s="59" t="n">
        <x:v>37</x:v>
      </x:c>
      <x:c r="B42" s="59" t="n">
        <x:v>8.887982025984668</x:v>
      </x:c>
      <x:c r="C42" s="59" t="n">
        <x:v>6.167425366130129</x:v>
      </x:c>
      <x:c r="D42" s="59" t="n">
        <x:v>5.0509971665757405</x:v>
      </x:c>
      <x:c r="E42" s="59" t="n">
        <x:v>2.823503500054718</x:v>
      </x:c>
      <x:c r="F42" s="59" t="n">
        <x:v>6.470091941254747</x:v>
      </x:c>
      <x:c r="G42" s="59" t="n">
        <x:v>5.880000000000001</x:v>
      </x:c>
      <x:c r="H42" s="58" t="str">
        <x:v>modeled_latent_ensemble</x:v>
      </x:c>
    </x:row>
    <x:row r="43" ht="15" hidden="0" customHeight="1">
      <x:c r="A43" s="60" t="n">
        <x:v>38</x:v>
      </x:c>
      <x:c r="B43" s="60" t="n">
        <x:v>8.93101141076299</x:v>
      </x:c>
      <x:c r="C43" s="60" t="n">
        <x:v>6.0514418952444995</x:v>
      </x:c>
      <x:c r="D43" s="60" t="n">
        <x:v>4.995546299207169</x:v>
      </x:c>
      <x:c r="E43" s="60" t="n">
        <x:v>3.025526511329725</x:v>
      </x:c>
      <x:c r="F43" s="60" t="n">
        <x:v>6.396473883455618</x:v>
      </x:c>
      <x:c r="G43" s="60" t="n">
        <x:v>5.880000000000001</x:v>
      </x:c>
      <x:c r="H43" s="57" t="str">
        <x:v>modeled_latent_ensemble</x:v>
      </x:c>
    </x:row>
    <x:row r="44" ht="15" hidden="0" customHeight="1">
      <x:c r="A44" s="59" t="n">
        <x:v>39</x:v>
      </x:c>
      <x:c r="B44" s="59" t="n">
        <x:v>8.775918432377143</x:v>
      </x:c>
      <x:c r="C44" s="59" t="n">
        <x:v>5.885375830450285</x:v>
      </x:c>
      <x:c r="D44" s="59" t="n">
        <x:v>4.922207357866271</x:v>
      </x:c>
      <x:c r="E44" s="59" t="n">
        <x:v>3.470094969590556</x:v>
      </x:c>
      <x:c r="F44" s="59" t="n">
        <x:v>6.346403409715745</x:v>
      </x:c>
      <x:c r="G44" s="59" t="n">
        <x:v>5.88</x:v>
      </x:c>
      <x:c r="H44" s="58" t="str">
        <x:v>modeled_latent_ensemble</x:v>
      </x:c>
    </x:row>
    <x:row r="45" ht="15" hidden="0" customHeight="1">
      <x:c r="A45" s="60" t="n">
        <x:v>40</x:v>
      </x:c>
      <x:c r="B45" s="60" t="n">
        <x:v>8.728139761094692</x:v>
      </x:c>
      <x:c r="C45" s="60" t="n">
        <x:v>5.935128106072182</x:v>
      </x:c>
      <x:c r="D45" s="60" t="n">
        <x:v>4.829810967346733</x:v>
      </x:c>
      <x:c r="E45" s="60" t="n">
        <x:v>3.4402463039067275</x:v>
      </x:c>
      <x:c r="F45" s="60" t="n">
        <x:v>6.4666748615796665</x:v>
      </x:c>
      <x:c r="G45" s="60" t="n">
        <x:v>5.879999999999999</x:v>
      </x:c>
      <x:c r="H45" s="57" t="str">
        <x:v>modeled_latent_ensemble</x:v>
      </x:c>
    </x:row>
    <x:row r="46" ht="15" hidden="0" customHeight="1">
      <x:c r="A46" s="59" t="n">
        <x:v>41</x:v>
      </x:c>
      <x:c r="B46" s="59" t="n">
        <x:v>9.016464540529128</x:v>
      </x:c>
      <x:c r="C46" s="59" t="n">
        <x:v>6.152432250990956</x:v>
      </x:c>
      <x:c r="D46" s="59" t="n">
        <x:v>5.047830553531426</x:v>
      </x:c>
      <x:c r="E46" s="59" t="n">
        <x:v>2.692481628617156</x:v>
      </x:c>
      <x:c r="F46" s="59" t="n">
        <x:v>6.490791026331334</x:v>
      </x:c>
      <x:c r="G46" s="59" t="n">
        <x:v>5.88</x:v>
      </x:c>
      <x:c r="H46" s="58" t="str">
        <x:v>modeled_latent_ensemble</x:v>
      </x:c>
    </x:row>
    <x:row r="47" ht="15" hidden="0" customHeight="1">
      <x:c r="A47" s="60" t="n">
        <x:v>42</x:v>
      </x:c>
      <x:c r="B47" s="60" t="n">
        <x:v>8.75680530541543</x:v>
      </x:c>
      <x:c r="C47" s="60" t="n">
        <x:v>6.0604578265581255</x:v>
      </x:c>
      <x:c r="D47" s="60" t="n">
        <x:v>5.1218343270097035</x:v>
      </x:c>
      <x:c r="E47" s="60" t="n">
        <x:v>3.1379984390780984</x:v>
      </x:c>
      <x:c r="F47" s="60" t="n">
        <x:v>6.3229041019386445</x:v>
      </x:c>
      <x:c r="G47" s="60" t="n">
        <x:v>5.880000000000001</x:v>
      </x:c>
      <x:c r="H47" s="57" t="str">
        <x:v>modeled_latent_ensemble</x:v>
      </x:c>
    </x:row>
    <x:row r="48" ht="15" hidden="0" customHeight="1">
      <x:c r="A48" s="59" t="n">
        <x:v>43</x:v>
      </x:c>
      <x:c r="B48" s="59" t="n">
        <x:v>8.878160177571248</x:v>
      </x:c>
      <x:c r="C48" s="59" t="n">
        <x:v>6.045142268192797</x:v>
      </x:c>
      <x:c r="D48" s="59" t="n">
        <x:v>5.347769175801292</x:v>
      </x:c>
      <x:c r="E48" s="59" t="n">
        <x:v>2.5468916770666965</x:v>
      </x:c>
      <x:c r="F48" s="59" t="n">
        <x:v>6.582036701367968</x:v>
      </x:c>
      <x:c r="G48" s="59" t="n">
        <x:v>5.880000000000001</x:v>
      </x:c>
      <x:c r="H48" s="58" t="str">
        <x:v>modeled_latent_ensemble</x:v>
      </x:c>
    </x:row>
    <x:row r="49" ht="15" hidden="0" customHeight="1">
      <x:c r="A49" s="60" t="n">
        <x:v>44</x:v>
      </x:c>
      <x:c r="B49" s="60" t="n">
        <x:v>8.748962084781821</x:v>
      </x:c>
      <x:c r="C49" s="60" t="n">
        <x:v>5.958366523812733</x:v>
      </x:c>
      <x:c r="D49" s="60" t="n">
        <x:v>5.1106644442353835</x:v>
      </x:c>
      <x:c r="E49" s="60" t="n">
        <x:v>3.3637295704596637</x:v>
      </x:c>
      <x:c r="F49" s="60" t="n">
        <x:v>6.218277376710399</x:v>
      </x:c>
      <x:c r="G49" s="60" t="n">
        <x:v>5.880000000000001</x:v>
      </x:c>
      <x:c r="H49" s="57" t="str">
        <x:v>modeled_latent_ensemble</x:v>
      </x:c>
    </x:row>
    <x:row r="50" ht="15" hidden="0" customHeight="1">
      <x:c r="A50" s="59" t="n">
        <x:v>45</x:v>
      </x:c>
      <x:c r="B50" s="59" t="n">
        <x:v>8.958923247580351</x:v>
      </x:c>
      <x:c r="C50" s="59" t="n">
        <x:v>6.081578852041093</x:v>
      </x:c>
      <x:c r="D50" s="59" t="n">
        <x:v>5.321064610501857</x:v>
      </x:c>
      <x:c r="E50" s="59" t="n">
        <x:v>2.6097116913116194</x:v>
      </x:c>
      <x:c r="F50" s="59" t="n">
        <x:v>6.428721598565081</x:v>
      </x:c>
      <x:c r="G50" s="59" t="n">
        <x:v>5.880000000000001</x:v>
      </x:c>
      <x:c r="H50" s="58" t="str">
        <x:v>modeled_latent_ensemble</x:v>
      </x:c>
    </x:row>
    <x:row r="51" ht="15" hidden="0" customHeight="1">
      <x:c r="A51" s="60" t="n">
        <x:v>46</x:v>
      </x:c>
      <x:c r="B51" s="60" t="n">
        <x:v>8.835067346876183</x:v>
      </x:c>
      <x:c r="C51" s="60" t="n">
        <x:v>5.972726534164876</x:v>
      </x:c>
      <x:c r="D51" s="60" t="n">
        <x:v>5.06253417512489</x:v>
      </x:c>
      <x:c r="E51" s="60" t="n">
        <x:v>3.303003694932527</x:v>
      </x:c>
      <x:c r="F51" s="60" t="n">
        <x:v>6.226668248901525</x:v>
      </x:c>
      <x:c r="G51" s="60" t="n">
        <x:v>5.880000000000001</x:v>
      </x:c>
      <x:c r="H51" s="57" t="str">
        <x:v>modeled_latent_ensemble</x:v>
      </x:c>
    </x:row>
    <x:row r="52" ht="15" hidden="0" customHeight="1">
      <x:c r="A52" s="59" t="n">
        <x:v>47</x:v>
      </x:c>
      <x:c r="B52" s="59" t="n">
        <x:v>8.997117629660163</x:v>
      </x:c>
      <x:c r="C52" s="59" t="n">
        <x:v>6.042332955138753</x:v>
      </x:c>
      <x:c r="D52" s="59" t="n">
        <x:v>5.085596572825573</x:v>
      </x:c>
      <x:c r="E52" s="59" t="n">
        <x:v>2.896993426801076</x:v>
      </x:c>
      <x:c r="F52" s="59" t="n">
        <x:v>6.377959415574437</x:v>
      </x:c>
      <x:c r="G52" s="59" t="n">
        <x:v>5.880000000000001</x:v>
      </x:c>
      <x:c r="H52" s="58" t="str">
        <x:v>modeled_latent_ensemble</x:v>
      </x:c>
    </x:row>
    <x:row r="53" ht="15" hidden="0" customHeight="1">
      <x:c r="A53" s="60" t="n">
        <x:v>48</x:v>
      </x:c>
      <x:c r="B53" s="60" t="n">
        <x:v>8.752100563945676</x:v>
      </x:c>
      <x:c r="C53" s="60" t="n">
        <x:v>6.007144389032585</x:v>
      </x:c>
      <x:c r="D53" s="60" t="n">
        <x:v>4.974565809287702</x:v>
      </x:c>
      <x:c r="E53" s="60" t="n">
        <x:v>3.2474738139772117</x:v>
      </x:c>
      <x:c r="F53" s="60" t="n">
        <x:v>6.418715423756826</x:v>
      </x:c>
      <x:c r="G53" s="60" t="n">
        <x:v>5.88</x:v>
      </x:c>
      <x:c r="H53" s="57" t="str">
        <x:v>modeled_latent_ensemble</x:v>
      </x:c>
    </x:row>
    <x:row r="54" ht="15" hidden="0" customHeight="1">
      <x:c r="A54" s="59" t="n">
        <x:v>49</x:v>
      </x:c>
      <x:c r="B54" s="59" t="n">
        <x:v>8.738266028188853</x:v>
      </x:c>
      <x:c r="C54" s="59" t="n">
        <x:v>5.938576388672341</x:v>
      </x:c>
      <x:c r="D54" s="59" t="n">
        <x:v>5.245374087140636</x:v>
      </x:c>
      <x:c r="E54" s="59" t="n">
        <x:v>3.06354715732118</x:v>
      </x:c>
      <x:c r="F54" s="59" t="n">
        <x:v>6.414236338676991</x:v>
      </x:c>
      <x:c r="G54" s="59" t="n">
        <x:v>5.880000000000001</x:v>
      </x:c>
      <x:c r="H54" s="58" t="str">
        <x:v>modeled_latent_ensemble</x:v>
      </x:c>
    </x:row>
    <x:row r="55" ht="15" hidden="0" customHeight="1">
      <x:c r="A55" s="60" t="n">
        <x:v>50</x:v>
      </x:c>
      <x:c r="B55" s="60" t="n">
        <x:v>8.86093651979921</x:v>
      </x:c>
      <x:c r="C55" s="60" t="n">
        <x:v>6.042665784489862</x:v>
      </x:c>
      <x:c r="D55" s="60" t="n">
        <x:v>5.07624441450405</x:v>
      </x:c>
      <x:c r="E55" s="60" t="n">
        <x:v>2.8440429759981347</x:v>
      </x:c>
      <x:c r="F55" s="60" t="n">
        <x:v>6.576110305208744</x:v>
      </x:c>
      <x:c r="G55" s="60" t="n">
        <x:v>5.880000000000001</x:v>
      </x:c>
      <x:c r="H55" s="57" t="str">
        <x:v>modeled_latent_ensemble</x:v>
      </x:c>
    </x:row>
    <x:row r="56" ht="15" hidden="0" customHeight="1">
      <x:c r="A56" s="59" t="n">
        <x:v>51</x:v>
      </x:c>
      <x:c r="B56" s="59" t="n">
        <x:v>8.995652468753976</x:v>
      </x:c>
      <x:c r="C56" s="59" t="n">
        <x:v>6.1316609695533595</x:v>
      </x:c>
      <x:c r="D56" s="59" t="n">
        <x:v>5.138987304846954</x:v>
      </x:c>
      <x:c r="E56" s="59" t="n">
        <x:v>2.783406463438356</x:v>
      </x:c>
      <x:c r="F56" s="59" t="n">
        <x:v>6.350292793407357</x:v>
      </x:c>
      <x:c r="G56" s="59" t="n">
        <x:v>5.880000000000001</x:v>
      </x:c>
      <x:c r="H56" s="58" t="str">
        <x:v>modeled_latent_ensemble</x:v>
      </x:c>
    </x:row>
    <x:row r="57" ht="15" hidden="0" customHeight="1">
      <x:c r="A57" s="60" t="n">
        <x:v>52</x:v>
      </x:c>
      <x:c r="B57" s="60" t="n">
        <x:v>8.928875196146755</x:v>
      </x:c>
      <x:c r="C57" s="60" t="n">
        <x:v>6.007291538968098</x:v>
      </x:c>
      <x:c r="D57" s="60" t="n">
        <x:v>5.026634004473449</x:v>
      </x:c>
      <x:c r="E57" s="60" t="n">
        <x:v>3.2739436929928467</x:v>
      </x:c>
      <x:c r="F57" s="60" t="n">
        <x:v>6.163255567418853</x:v>
      </x:c>
      <x:c r="G57" s="60" t="n">
        <x:v>5.880000000000001</x:v>
      </x:c>
      <x:c r="H57" s="57" t="str">
        <x:v>modeled_latent_ensemble</x:v>
      </x:c>
    </x:row>
    <x:row r="58" ht="15" hidden="0" customHeight="1">
      <x:c r="A58" s="59" t="n">
        <x:v>53</x:v>
      </x:c>
      <x:c r="B58" s="59" t="n">
        <x:v>8.765393414927548</x:v>
      </x:c>
      <x:c r="C58" s="59" t="n">
        <x:v>5.901147211756961</x:v>
      </x:c>
      <x:c r="D58" s="59" t="n">
        <x:v>4.964001450619487</x:v>
      </x:c>
      <x:c r="E58" s="59" t="n">
        <x:v>3.3832444736378577</x:v>
      </x:c>
      <x:c r="F58" s="59" t="n">
        <x:v>6.386213449058147</x:v>
      </x:c>
      <x:c r="G58" s="59" t="n">
        <x:v>5.880000000000001</x:v>
      </x:c>
      <x:c r="H58" s="58" t="str">
        <x:v>modeled_latent_ensemble</x:v>
      </x:c>
    </x:row>
    <x:row r="59" ht="15" hidden="0" customHeight="1">
      <x:c r="A59" s="60" t="n">
        <x:v>54</x:v>
      </x:c>
      <x:c r="B59" s="60" t="n">
        <x:v>8.96321598874688</x:v>
      </x:c>
      <x:c r="C59" s="60" t="n">
        <x:v>5.969762540820708</x:v>
      </x:c>
      <x:c r="D59" s="60" t="n">
        <x:v>5.037042392238728</x:v>
      </x:c>
      <x:c r="E59" s="60" t="n">
        <x:v>2.9092252145711397</x:v>
      </x:c>
      <x:c r="F59" s="60" t="n">
        <x:v>6.520753863622545</x:v>
      </x:c>
      <x:c r="G59" s="60" t="n">
        <x:v>5.880000000000001</x:v>
      </x:c>
      <x:c r="H59" s="57" t="str">
        <x:v>modeled_latent_ensemble</x:v>
      </x:c>
    </x:row>
    <x:row r="60" ht="15" hidden="0" customHeight="1">
      <x:c r="A60" s="59" t="n">
        <x:v>55</x:v>
      </x:c>
      <x:c r="B60" s="59" t="n">
        <x:v>8.836521307732683</x:v>
      </x:c>
      <x:c r="C60" s="59" t="n">
        <x:v>6.016130681818148</x:v>
      </x:c>
      <x:c r="D60" s="59" t="n">
        <x:v>4.9306305350439334</x:v>
      </x:c>
      <x:c r="E60" s="59" t="n">
        <x:v>3.1079485055288756</x:v>
      </x:c>
      <x:c r="F60" s="59" t="n">
        <x:v>6.5087689698763596</x:v>
      </x:c>
      <x:c r="G60" s="59" t="n">
        <x:v>5.880000000000001</x:v>
      </x:c>
      <x:c r="H60" s="58" t="str">
        <x:v>modeled_latent_ensemble</x:v>
      </x:c>
    </x:row>
    <x:row r="61" ht="15" hidden="0" customHeight="1">
      <x:c r="A61" s="60" t="n">
        <x:v>56</x:v>
      </x:c>
      <x:c r="B61" s="60" t="n">
        <x:v>8.967673513823566</x:v>
      </x:c>
      <x:c r="C61" s="60" t="n">
        <x:v>6.087433656340766</x:v>
      </x:c>
      <x:c r="D61" s="60" t="n">
        <x:v>4.945426608659292</x:v>
      </x:c>
      <x:c r="E61" s="60" t="n">
        <x:v>3.088916618086945</x:v>
      </x:c>
      <x:c r="F61" s="60" t="n">
        <x:v>6.310549603089432</x:v>
      </x:c>
      <x:c r="G61" s="60" t="n">
        <x:v>5.88</x:v>
      </x:c>
      <x:c r="H61" s="57" t="str">
        <x:v>modeled_latent_ensemble</x:v>
      </x:c>
    </x:row>
    <x:row r="62" ht="15" hidden="0" customHeight="1">
      <x:c r="A62" s="59" t="n">
        <x:v>57</x:v>
      </x:c>
      <x:c r="B62" s="59" t="n">
        <x:v>8.952936231121008</x:v>
      </x:c>
      <x:c r="C62" s="59" t="n">
        <x:v>5.99073604449875</x:v>
      </x:c>
      <x:c r="D62" s="59" t="n">
        <x:v>4.925771099529509</x:v>
      </x:c>
      <x:c r="E62" s="59" t="n">
        <x:v>2.970671677732077</x:v>
      </x:c>
      <x:c r="F62" s="59" t="n">
        <x:v>6.559884947118658</x:v>
      </x:c>
      <x:c r="G62" s="59" t="n">
        <x:v>5.880000000000001</x:v>
      </x:c>
      <x:c r="H62" s="58" t="str">
        <x:v>modeled_latent_ensemble</x:v>
      </x:c>
    </x:row>
    <x:row r="63" ht="15" hidden="0" customHeight="1">
      <x:c r="A63" s="60" t="n">
        <x:v>58</x:v>
      </x:c>
      <x:c r="B63" s="60" t="n">
        <x:v>8.857680407727342</x:v>
      </x:c>
      <x:c r="C63" s="60" t="n">
        <x:v>6.02581259099266</x:v>
      </x:c>
      <x:c r="D63" s="60" t="n">
        <x:v>4.96917756606314</x:v>
      </x:c>
      <x:c r="E63" s="60" t="n">
        <x:v>3.2998072730391272</x:v>
      </x:c>
      <x:c r="F63" s="60" t="n">
        <x:v>6.247522162177732</x:v>
      </x:c>
      <x:c r="G63" s="60" t="n">
        <x:v>5.88</x:v>
      </x:c>
      <x:c r="H63" s="57" t="str">
        <x:v>modeled_latent_ensemble</x:v>
      </x:c>
    </x:row>
    <x:row r="64" ht="15" hidden="0" customHeight="1">
      <x:c r="A64" s="59" t="n">
        <x:v>59</x:v>
      </x:c>
      <x:c r="B64" s="59" t="n">
        <x:v>8.814690374608098</x:v>
      </x:c>
      <x:c r="C64" s="59" t="n">
        <x:v>6.1319862103687734</x:v>
      </x:c>
      <x:c r="D64" s="59" t="n">
        <x:v>5.014433889379185</x:v>
      </x:c>
      <x:c r="E64" s="59" t="n">
        <x:v>2.94834325809491</x:v>
      </x:c>
      <x:c r="F64" s="59" t="n">
        <x:v>6.490546267549036</x:v>
      </x:c>
      <x:c r="G64" s="59" t="n">
        <x:v>5.88</x:v>
      </x:c>
      <x:c r="H64" s="58" t="str">
        <x:v>modeled_latent_ensemble</x:v>
      </x:c>
    </x:row>
    <x:row r="65" ht="15" hidden="0" customHeight="1">
      <x:c r="A65" s="60" t="n">
        <x:v>60</x:v>
      </x:c>
      <x:c r="B65" s="60" t="n">
        <x:v>8.887228942186983</x:v>
      </x:c>
      <x:c r="C65" s="60" t="n">
        <x:v>6.047942511965723</x:v>
      </x:c>
      <x:c r="D65" s="60" t="n">
        <x:v>5.300622587877137</x:v>
      </x:c>
      <x:c r="E65" s="60" t="n">
        <x:v>2.7785862358832794</x:v>
      </x:c>
      <x:c r="F65" s="60" t="n">
        <x:v>6.3856197220868784</x:v>
      </x:c>
      <x:c r="G65" s="60" t="n">
        <x:v>5.88</x:v>
      </x:c>
      <x:c r="H65" s="57" t="str">
        <x:v>modeled_latent_ensemble</x:v>
      </x:c>
    </x:row>
    <x:row r="66" ht="15" hidden="0" customHeight="1">
      <x:c r="A66" s="59" t="n">
        <x:v>61</x:v>
      </x:c>
      <x:c r="B66" s="59" t="n">
        <x:v>8.821017133668025</x:v>
      </x:c>
      <x:c r="C66" s="59" t="n">
        <x:v>5.992845878305581</x:v>
      </x:c>
      <x:c r="D66" s="59" t="n">
        <x:v>5.16884587438343</x:v>
      </x:c>
      <x:c r="E66" s="59" t="n">
        <x:v>3.0618064788238204</x:v>
      </x:c>
      <x:c r="F66" s="59" t="n">
        <x:v>6.355484634819144</x:v>
      </x:c>
      <x:c r="G66" s="59" t="n">
        <x:v>5.88</x:v>
      </x:c>
      <x:c r="H66" s="58" t="str">
        <x:v>modeled_latent_ensemble</x:v>
      </x:c>
    </x:row>
    <x:row r="67" ht="15" hidden="0" customHeight="1">
      <x:c r="A67" s="60" t="n">
        <x:v>62</x:v>
      </x:c>
      <x:c r="B67" s="60" t="n">
        <x:v>8.854498732568931</x:v>
      </x:c>
      <x:c r="C67" s="60" t="n">
        <x:v>5.970933157257302</x:v>
      </x:c>
      <x:c r="D67" s="60" t="n">
        <x:v>5.016293584689569</x:v>
      </x:c>
      <x:c r="E67" s="60" t="n">
        <x:v>3.0682063948282243</x:v>
      </x:c>
      <x:c r="F67" s="60" t="n">
        <x:v>6.490068130655975</x:v>
      </x:c>
      <x:c r="G67" s="60" t="n">
        <x:v>5.880000000000001</x:v>
      </x:c>
      <x:c r="H67" s="57" t="str">
        <x:v>modeled_latent_ensemble</x:v>
      </x:c>
    </x:row>
    <x:row r="68" ht="15" hidden="0" customHeight="1">
      <x:c r="A68" s="59" t="n">
        <x:v>63</x:v>
      </x:c>
      <x:c r="B68" s="59" t="n">
        <x:v>9.032986767561805</x:v>
      </x:c>
      <x:c r="C68" s="59" t="n">
        <x:v>6.117257231137886</x:v>
      </x:c>
      <x:c r="D68" s="59" t="n">
        <x:v>5.005033816772329</x:v>
      </x:c>
      <x:c r="E68" s="59" t="n">
        <x:v>2.7429554612926763</x:v>
      </x:c>
      <x:c r="F68" s="59" t="n">
        <x:v>6.501766723235304</x:v>
      </x:c>
      <x:c r="G68" s="59" t="n">
        <x:v>5.88</x:v>
      </x:c>
      <x:c r="H68" s="58" t="str">
        <x:v>modeled_latent_ensemble</x:v>
      </x:c>
    </x:row>
    <x:row r="69" ht="15" hidden="0" customHeight="1">
      <x:c r="A69" s="60" t="n">
        <x:v>64</x:v>
      </x:c>
      <x:c r="B69" s="60" t="n">
        <x:v>8.954523356164943</x:v>
      </x:c>
      <x:c r="C69" s="60" t="n">
        <x:v>6.022188661816536</x:v>
      </x:c>
      <x:c r="D69" s="60" t="n">
        <x:v>5.2773747755743585</x:v>
      </x:c>
      <x:c r="E69" s="60" t="n">
        <x:v>2.687761515262118</x:v>
      </x:c>
      <x:c r="F69" s="60" t="n">
        <x:v>6.458151691182047</x:v>
      </x:c>
      <x:c r="G69" s="60" t="n">
        <x:v>5.88</x:v>
      </x:c>
      <x:c r="H69" s="57" t="str">
        <x:v>modeled_latent_ensemble</x:v>
      </x:c>
    </x:row>
    <x:row r="70" ht="15" hidden="0" customHeight="1">
      <x:c r="A70" s="59" t="n">
        <x:v>65</x:v>
      </x:c>
      <x:c r="B70" s="59" t="n">
        <x:v>8.80154183056152</x:v>
      </x:c>
      <x:c r="C70" s="59" t="n">
        <x:v>5.873599201239675</x:v>
      </x:c>
      <x:c r="D70" s="59" t="n">
        <x:v>5.033672944156711</x:v>
      </x:c>
      <x:c r="E70" s="59" t="n">
        <x:v>3.325112777729336</x:v>
      </x:c>
      <x:c r="F70" s="59" t="n">
        <x:v>6.366073246312759</x:v>
      </x:c>
      <x:c r="G70" s="59" t="n">
        <x:v>5.880000000000001</x:v>
      </x:c>
      <x:c r="H70" s="58" t="str">
        <x:v>modeled_latent_ensemble</x:v>
      </x:c>
    </x:row>
    <x:row r="71" ht="15" hidden="0" customHeight="1">
      <x:c r="A71" s="60" t="n">
        <x:v>66</x:v>
      </x:c>
      <x:c r="B71" s="60" t="n">
        <x:v>8.831357256774371</x:v>
      </x:c>
      <x:c r="C71" s="60" t="n">
        <x:v>5.865409301003918</x:v>
      </x:c>
      <x:c r="D71" s="60" t="n">
        <x:v>4.9624071870011415</x:v>
      </x:c>
      <x:c r="E71" s="60" t="n">
        <x:v>3.363116960166248</x:v>
      </x:c>
      <x:c r="F71" s="60" t="n">
        <x:v>6.377709295054322</x:v>
      </x:c>
      <x:c r="G71" s="60" t="n">
        <x:v>5.88</x:v>
      </x:c>
      <x:c r="H71" s="57" t="str">
        <x:v>modeled_latent_ensemble</x:v>
      </x:c>
    </x:row>
    <x:row r="72" ht="15" hidden="0" customHeight="1">
      <x:c r="A72" s="59" t="n">
        <x:v>67</x:v>
      </x:c>
      <x:c r="B72" s="59" t="n">
        <x:v>8.721028017499394</x:v>
      </x:c>
      <x:c r="C72" s="59" t="n">
        <x:v>5.8942484483286</x:v>
      </x:c>
      <x:c r="D72" s="59" t="n">
        <x:v>5.01900218496278</x:v>
      </x:c>
      <x:c r="E72" s="59" t="n">
        <x:v>3.394782605439849</x:v>
      </x:c>
      <x:c r="F72" s="59" t="n">
        <x:v>6.370938743769378</x:v>
      </x:c>
      <x:c r="G72" s="59" t="n">
        <x:v>5.880000000000001</x:v>
      </x:c>
      <x:c r="H72" s="58" t="str">
        <x:v>modeled_latent_ensemble</x:v>
      </x:c>
    </x:row>
    <x:row r="73" ht="15" hidden="0" customHeight="1">
      <x:c r="A73" s="60" t="n">
        <x:v>68</x:v>
      </x:c>
      <x:c r="B73" s="60" t="n">
        <x:v>8.93598865901547</x:v>
      </x:c>
      <x:c r="C73" s="60" t="n">
        <x:v>6.096558109213377</x:v>
      </x:c>
      <x:c r="D73" s="60" t="n">
        <x:v>5.165381006347972</x:v>
      </x:c>
      <x:c r="E73" s="60" t="n">
        <x:v>2.841893247925663</x:v>
      </x:c>
      <x:c r="F73" s="60" t="n">
        <x:v>6.36017897749752</x:v>
      </x:c>
      <x:c r="G73" s="60" t="n">
        <x:v>5.88</x:v>
      </x:c>
      <x:c r="H73" s="57" t="str">
        <x:v>modeled_latent_ensemble</x:v>
      </x:c>
    </x:row>
    <x:row r="74" ht="15" hidden="0" customHeight="1">
      <x:c r="A74" s="59" t="n">
        <x:v>69</x:v>
      </x:c>
      <x:c r="B74" s="59" t="n">
        <x:v>9.008149213472342</x:v>
      </x:c>
      <x:c r="C74" s="59" t="n">
        <x:v>6.166924910859991</x:v>
      </x:c>
      <x:c r="D74" s="59" t="n">
        <x:v>5.034171864428972</x:v>
      </x:c>
      <x:c r="E74" s="59" t="n">
        <x:v>2.6962268761807913</x:v>
      </x:c>
      <x:c r="F74" s="59" t="n">
        <x:v>6.494527135057906</x:v>
      </x:c>
      <x:c r="G74" s="59" t="n">
        <x:v>5.88</x:v>
      </x:c>
      <x:c r="H74" s="58" t="str">
        <x:v>modeled_latent_ensemble</x:v>
      </x:c>
    </x:row>
    <x:row r="75" ht="15" hidden="0" customHeight="1">
      <x:c r="A75" s="60" t="n">
        <x:v>70</x:v>
      </x:c>
      <x:c r="B75" s="60" t="n">
        <x:v>8.934125584255595</x:v>
      </x:c>
      <x:c r="C75" s="60" t="n">
        <x:v>5.989941388828625</x:v>
      </x:c>
      <x:c r="D75" s="60" t="n">
        <x:v>5.07541684197654</x:v>
      </x:c>
      <x:c r="E75" s="60" t="n">
        <x:v>2.7133390565275977</x:v>
      </x:c>
      <x:c r="F75" s="60" t="n">
        <x:v>6.687177128411643</x:v>
      </x:c>
      <x:c r="G75" s="60" t="n">
        <x:v>5.880000000000001</x:v>
      </x:c>
      <x:c r="H75" s="57" t="str">
        <x:v>modeled_latent_ensemble</x:v>
      </x:c>
    </x:row>
    <x:row r="76" ht="15" hidden="0" customHeight="1">
      <x:c r="A76" s="59" t="n">
        <x:v>71</x:v>
      </x:c>
      <x:c r="B76" s="59" t="n">
        <x:v>8.73196310356935</x:v>
      </x:c>
      <x:c r="C76" s="59" t="n">
        <x:v>5.914306900116229</x:v>
      </x:c>
      <x:c r="D76" s="59" t="n">
        <x:v>5.161080129777343</x:v>
      </x:c>
      <x:c r="E76" s="59" t="n">
        <x:v>3.2040792352810614</x:v>
      </x:c>
      <x:c r="F76" s="59" t="n">
        <x:v>6.388570631256018</x:v>
      </x:c>
      <x:c r="G76" s="59" t="n">
        <x:v>5.88</x:v>
      </x:c>
      <x:c r="H76" s="58" t="str">
        <x:v>modeled_latent_ensemble</x:v>
      </x:c>
    </x:row>
    <x:row r="77" ht="15" hidden="0" customHeight="1">
      <x:c r="A77" s="60" t="n">
        <x:v>72</x:v>
      </x:c>
      <x:c r="B77" s="60" t="n">
        <x:v>8.92380625427977</x:v>
      </x:c>
      <x:c r="C77" s="60" t="n">
        <x:v>6.034085889436552</x:v>
      </x:c>
      <x:c r="D77" s="60" t="n">
        <x:v>5.04410043940404</x:v>
      </x:c>
      <x:c r="E77" s="60" t="n">
        <x:v>2.9314815822227067</x:v>
      </x:c>
      <x:c r="F77" s="60" t="n">
        <x:v>6.466525834656934</x:v>
      </x:c>
      <x:c r="G77" s="60" t="n">
        <x:v>5.880000000000001</x:v>
      </x:c>
      <x:c r="H77" s="57" t="str">
        <x:v>modeled_latent_ensemble</x:v>
      </x:c>
    </x:row>
    <x:row r="78" ht="15" hidden="0" customHeight="1">
      <x:c r="A78" s="59" t="n">
        <x:v>73</x:v>
      </x:c>
      <x:c r="B78" s="59" t="n">
        <x:v>8.944764065256361</x:v>
      </x:c>
      <x:c r="C78" s="59" t="n">
        <x:v>6.012951435642843</x:v>
      </x:c>
      <x:c r="D78" s="59" t="n">
        <x:v>5.142596069278954</x:v>
      </x:c>
      <x:c r="E78" s="59" t="n">
        <x:v>2.8766858880367248</x:v>
      </x:c>
      <x:c r="F78" s="59" t="n">
        <x:v>6.423002541785118</x:v>
      </x:c>
      <x:c r="G78" s="59" t="n">
        <x:v>5.880000000000001</x:v>
      </x:c>
      <x:c r="H78" s="58" t="str">
        <x:v>modeled_latent_ensemble</x:v>
      </x:c>
    </x:row>
    <x:row r="79" ht="15" hidden="0" customHeight="1">
      <x:c r="A79" s="60" t="n">
        <x:v>74</x:v>
      </x:c>
      <x:c r="B79" s="60" t="n">
        <x:v>8.917457207284903</x:v>
      </x:c>
      <x:c r="C79" s="60" t="n">
        <x:v>6.0904472648184305</x:v>
      </x:c>
      <x:c r="D79" s="60" t="n">
        <x:v>5.088481824319288</x:v>
      </x:c>
      <x:c r="E79" s="60" t="n">
        <x:v>2.7494059924866043</x:v>
      </x:c>
      <x:c r="F79" s="60" t="n">
        <x:v>6.554207711090775</x:v>
      </x:c>
      <x:c r="G79" s="60" t="n">
        <x:v>5.880000000000001</x:v>
      </x:c>
      <x:c r="H79" s="57" t="str">
        <x:v>modeled_latent_ensemble</x:v>
      </x:c>
    </x:row>
    <x:row r="80" ht="15" hidden="0" customHeight="1">
      <x:c r="A80" s="59" t="n">
        <x:v>75</x:v>
      </x:c>
      <x:c r="B80" s="59" t="n">
        <x:v>8.930919823515785</x:v>
      </x:c>
      <x:c r="C80" s="59" t="n">
        <x:v>6.134844026729212</x:v>
      </x:c>
      <x:c r="D80" s="59" t="n">
        <x:v>5.188422544785098</x:v>
      </x:c>
      <x:c r="E80" s="59" t="n">
        <x:v>2.7781500420128244</x:v>
      </x:c>
      <x:c r="F80" s="59" t="n">
        <x:v>6.367663562957082</x:v>
      </x:c>
      <x:c r="G80" s="59" t="n">
        <x:v>5.880000000000001</x:v>
      </x:c>
      <x:c r="H80" s="58" t="str">
        <x:v>modeled_latent_ensemble</x:v>
      </x:c>
    </x:row>
    <x:row r="81" ht="15" hidden="0" customHeight="1">
      <x:c r="A81" s="60" t="n">
        <x:v>76</x:v>
      </x:c>
      <x:c r="B81" s="60" t="n">
        <x:v>8.943487097235895</x:v>
      </x:c>
      <x:c r="C81" s="60" t="n">
        <x:v>6.017478237743103</x:v>
      </x:c>
      <x:c r="D81" s="60" t="n">
        <x:v>5.188466497114852</x:v>
      </x:c>
      <x:c r="E81" s="60" t="n">
        <x:v>2.759549379689173</x:v>
      </x:c>
      <x:c r="F81" s="60" t="n">
        <x:v>6.491018788216977</x:v>
      </x:c>
      <x:c r="G81" s="60" t="n">
        <x:v>5.88</x:v>
      </x:c>
      <x:c r="H81" s="57" t="str">
        <x:v>modeled_latent_ensemble</x:v>
      </x:c>
    </x:row>
    <x:row r="82" ht="15" hidden="0" customHeight="1">
      <x:c r="A82" s="59" t="n">
        <x:v>77</x:v>
      </x:c>
      <x:c r="B82" s="59" t="n">
        <x:v>8.800720477616274</x:v>
      </x:c>
      <x:c r="C82" s="59" t="n">
        <x:v>5.872147083426515</x:v>
      </x:c>
      <x:c r="D82" s="59" t="n">
        <x:v>4.904677138896085</x:v>
      </x:c>
      <x:c r="E82" s="59" t="n">
        <x:v>3.493618023629401</x:v>
      </x:c>
      <x:c r="F82" s="59" t="n">
        <x:v>6.328837276431726</x:v>
      </x:c>
      <x:c r="G82" s="59" t="n">
        <x:v>5.880000000000001</x:v>
      </x:c>
      <x:c r="H82" s="58" t="str">
        <x:v>modeled_latent_ensemble</x:v>
      </x:c>
    </x:row>
    <x:row r="83" ht="15" hidden="0" customHeight="1">
      <x:c r="A83" s="60" t="n">
        <x:v>78</x:v>
      </x:c>
      <x:c r="B83" s="60" t="n">
        <x:v>8.83692781646627</x:v>
      </x:c>
      <x:c r="C83" s="60" t="n">
        <x:v>5.954349861019361</x:v>
      </x:c>
      <x:c r="D83" s="60" t="n">
        <x:v>5.070160614514449</x:v>
      </x:c>
      <x:c r="E83" s="60" t="n">
        <x:v>2.9670461608232372</x:v>
      </x:c>
      <x:c r="F83" s="60" t="n">
        <x:v>6.571515547176684</x:v>
      </x:c>
      <x:c r="G83" s="60" t="n">
        <x:v>5.880000000000001</x:v>
      </x:c>
      <x:c r="H83" s="57" t="str">
        <x:v>modeled_latent_ensemble</x:v>
      </x:c>
    </x:row>
    <x:row r="84" ht="15" hidden="0" customHeight="1">
      <x:c r="A84" s="59" t="n">
        <x:v>79</x:v>
      </x:c>
      <x:c r="B84" s="59" t="n">
        <x:v>8.861264768993005</x:v>
      </x:c>
      <x:c r="C84" s="59" t="n">
        <x:v>6.035575157684459</x:v>
      </x:c>
      <x:c r="D84" s="59" t="n">
        <x:v>5.163663874470327</x:v>
      </x:c>
      <x:c r="E84" s="59" t="n">
        <x:v>2.708883512210222</x:v>
      </x:c>
      <x:c r="F84" s="59" t="n">
        <x:v>6.630612686641989</x:v>
      </x:c>
      <x:c r="G84" s="59" t="n">
        <x:v>5.88</x:v>
      </x:c>
      <x:c r="H84" s="58" t="str">
        <x:v>modeled_latent_ensemble</x:v>
      </x:c>
    </x:row>
    <x:row r="85" ht="15" hidden="0" customHeight="1">
      <x:c r="A85" s="60" t="n">
        <x:v>80</x:v>
      </x:c>
      <x:c r="B85" s="60" t="n">
        <x:v>8.859580129284723</x:v>
      </x:c>
      <x:c r="C85" s="60" t="n">
        <x:v>6.19777859224132</x:v>
      </x:c>
      <x:c r="D85" s="60" t="n">
        <x:v>5.094959360310722</x:v>
      </x:c>
      <x:c r="E85" s="60" t="n">
        <x:v>2.759470195582184</x:v>
      </x:c>
      <x:c r="F85" s="60" t="n">
        <x:v>6.4882117225810525</x:v>
      </x:c>
      <x:c r="G85" s="60" t="n">
        <x:v>5.880000000000001</x:v>
      </x:c>
      <x:c r="H85" s="57" t="str">
        <x:v>modeled_latent_ensemble</x:v>
      </x:c>
    </x:row>
    <x:row r="86" ht="15" hidden="0" customHeight="1">
      <x:c r="A86" s="59" t="n">
        <x:v>81</x:v>
      </x:c>
      <x:c r="B86" s="59" t="n">
        <x:v>8.747833495922535</x:v>
      </x:c>
      <x:c r="C86" s="59" t="n">
        <x:v>5.911688030529884</x:v>
      </x:c>
      <x:c r="D86" s="59" t="n">
        <x:v>4.925974432248204</x:v>
      </x:c>
      <x:c r="E86" s="59" t="n">
        <x:v>3.417172620965473</x:v>
      </x:c>
      <x:c r="F86" s="59" t="n">
        <x:v>6.397331420333904</x:v>
      </x:c>
      <x:c r="G86" s="59" t="n">
        <x:v>5.88</x:v>
      </x:c>
      <x:c r="H86" s="58" t="str">
        <x:v>modeled_latent_ensemble</x:v>
      </x:c>
    </x:row>
    <x:row r="87" ht="15" hidden="0" customHeight="1">
      <x:c r="A87" s="60" t="n">
        <x:v>82</x:v>
      </x:c>
      <x:c r="B87" s="60" t="n">
        <x:v>8.869283711471807</x:v>
      </x:c>
      <x:c r="C87" s="60" t="n">
        <x:v>6.1734606012349715</x:v>
      </x:c>
      <x:c r="D87" s="60" t="n">
        <x:v>4.846168970612498</x:v>
      </x:c>
      <x:c r="E87" s="60" t="n">
        <x:v>3.1249102100037183</x:v>
      </x:c>
      <x:c r="F87" s="60" t="n">
        <x:v>6.386176506677006</x:v>
      </x:c>
      <x:c r="G87" s="60" t="n">
        <x:v>5.880000000000001</x:v>
      </x:c>
      <x:c r="H87" s="57" t="str">
        <x:v>modeled_latent_ensemble</x:v>
      </x:c>
    </x:row>
    <x:row r="88" ht="15" hidden="0" customHeight="1">
      <x:c r="A88" s="59" t="n">
        <x:v>83</x:v>
      </x:c>
      <x:c r="B88" s="59" t="n">
        <x:v>8.896468484735058</x:v>
      </x:c>
      <x:c r="C88" s="59" t="n">
        <x:v>5.958454624283283</x:v>
      </x:c>
      <x:c r="D88" s="59" t="n">
        <x:v>4.843742547372258</x:v>
      </x:c>
      <x:c r="E88" s="59" t="n">
        <x:v>3.2868587659134647</x:v>
      </x:c>
      <x:c r="F88" s="59" t="n">
        <x:v>6.414475577695937</x:v>
      </x:c>
      <x:c r="G88" s="59" t="n">
        <x:v>5.88</x:v>
      </x:c>
      <x:c r="H88" s="58" t="str">
        <x:v>modeled_latent_ensemble</x:v>
      </x:c>
    </x:row>
    <x:row r="89" ht="15" hidden="0" customHeight="1">
      <x:c r="A89" s="60" t="n">
        <x:v>84</x:v>
      </x:c>
      <x:c r="B89" s="60" t="n">
        <x:v>8.76915631932954</x:v>
      </x:c>
      <x:c r="C89" s="60" t="n">
        <x:v>5.900770271438108</x:v>
      </x:c>
      <x:c r="D89" s="60" t="n">
        <x:v>5.006520152910914</x:v>
      </x:c>
      <x:c r="E89" s="60" t="n">
        <x:v>3.1340130248313325</x:v>
      </x:c>
      <x:c r="F89" s="60" t="n">
        <x:v>6.5895402314901075</x:v>
      </x:c>
      <x:c r="G89" s="60" t="n">
        <x:v>5.880000000000001</x:v>
      </x:c>
      <x:c r="H89" s="57" t="str">
        <x:v>modeled_latent_ensemble</x:v>
      </x:c>
    </x:row>
    <x:row r="90" ht="15" hidden="0" customHeight="1">
      <x:c r="A90" s="59" t="n">
        <x:v>85</x:v>
      </x:c>
      <x:c r="B90" s="59" t="n">
        <x:v>8.902772006936495</x:v>
      </x:c>
      <x:c r="C90" s="59" t="n">
        <x:v>5.985018074472443</x:v>
      </x:c>
      <x:c r="D90" s="59" t="n">
        <x:v>5.021025896417568</x:v>
      </x:c>
      <x:c r="E90" s="59" t="n">
        <x:v>2.8705215038603806</x:v>
      </x:c>
      <x:c r="F90" s="59" t="n">
        <x:v>6.620662518313117</x:v>
      </x:c>
      <x:c r="G90" s="59" t="n">
        <x:v>5.880000000000001</x:v>
      </x:c>
      <x:c r="H90" s="58" t="str">
        <x:v>modeled_latent_ensemble</x:v>
      </x:c>
    </x:row>
    <x:row r="91" ht="15" hidden="0" customHeight="1">
      <x:c r="A91" s="60" t="n">
        <x:v>86</x:v>
      </x:c>
      <x:c r="B91" s="60" t="n">
        <x:v>8.862662377636319</x:v>
      </x:c>
      <x:c r="C91" s="60" t="n">
        <x:v>5.9964474323713235</x:v>
      </x:c>
      <x:c r="D91" s="60" t="n">
        <x:v>5.082152773804605</x:v>
      </x:c>
      <x:c r="E91" s="60" t="n">
        <x:v>2.7606776073233568</x:v>
      </x:c>
      <x:c r="F91" s="60" t="n">
        <x:v>6.698059808864397</x:v>
      </x:c>
      <x:c r="G91" s="60" t="n">
        <x:v>5.88</x:v>
      </x:c>
      <x:c r="H91" s="57" t="str">
        <x:v>modeled_latent_ensemble</x:v>
      </x:c>
    </x:row>
    <x:row r="92" ht="15" hidden="0" customHeight="1">
      <x:c r="A92" s="59" t="n">
        <x:v>87</x:v>
      </x:c>
      <x:c r="B92" s="59" t="n">
        <x:v>8.9286555926879</x:v>
      </x:c>
      <x:c r="C92" s="59" t="n">
        <x:v>6.0680401214726425</x:v>
      </x:c>
      <x:c r="D92" s="59" t="n">
        <x:v>5.189217379869667</x:v>
      </x:c>
      <x:c r="E92" s="59" t="n">
        <x:v>2.892243944781802</x:v>
      </x:c>
      <x:c r="F92" s="59" t="n">
        <x:v>6.32184296118799</x:v>
      </x:c>
      <x:c r="G92" s="59" t="n">
        <x:v>5.88</x:v>
      </x:c>
      <x:c r="H92" s="58" t="str">
        <x:v>modeled_latent_ensemble</x:v>
      </x:c>
    </x:row>
    <x:row r="93" ht="15" hidden="0" customHeight="1">
      <x:c r="A93" s="60" t="n">
        <x:v>88</x:v>
      </x:c>
      <x:c r="B93" s="60" t="n">
        <x:v>8.955964396291854</x:v>
      </x:c>
      <x:c r="C93" s="60" t="n">
        <x:v>6.107246530355534</x:v>
      </x:c>
      <x:c r="D93" s="60" t="n">
        <x:v>4.975231444530759</x:v>
      </x:c>
      <x:c r="E93" s="60" t="n">
        <x:v>3.1191874576580196</x:v>
      </x:c>
      <x:c r="F93" s="60" t="n">
        <x:v>6.242370171163834</x:v>
      </x:c>
      <x:c r="G93" s="60" t="n">
        <x:v>5.88</x:v>
      </x:c>
      <x:c r="H93" s="57" t="str">
        <x:v>modeled_latent_ensemble</x:v>
      </x:c>
    </x:row>
    <x:row r="94" ht="15" hidden="0" customHeight="1">
      <x:c r="A94" s="59" t="n">
        <x:v>89</x:v>
      </x:c>
      <x:c r="B94" s="59" t="n">
        <x:v>8.752359260637704</x:v>
      </x:c>
      <x:c r="C94" s="59" t="n">
        <x:v>5.958171945259938</x:v>
      </x:c>
      <x:c r="D94" s="59" t="n">
        <x:v>5.227806509641342</x:v>
      </x:c>
      <x:c r="E94" s="59" t="n">
        <x:v>2.835741927690089</x:v>
      </x:c>
      <x:c r="F94" s="59" t="n">
        <x:v>6.625920356770929</x:v>
      </x:c>
      <x:c r="G94" s="59" t="n">
        <x:v>5.880000000000001</x:v>
      </x:c>
      <x:c r="H94" s="58" t="str">
        <x:v>modeled_latent_ensemble</x:v>
      </x:c>
    </x:row>
    <x:row r="95" ht="15" hidden="0" customHeight="1">
      <x:c r="A95" s="60" t="n">
        <x:v>90</x:v>
      </x:c>
      <x:c r="B95" s="60" t="n">
        <x:v>8.743598381868285</x:v>
      </x:c>
      <x:c r="C95" s="60" t="n">
        <x:v>5.955477512213978</x:v>
      </x:c>
      <x:c r="D95" s="60" t="n">
        <x:v>5.06087325747588</x:v>
      </x:c>
      <x:c r="E95" s="60" t="n">
        <x:v>3.2194344092061353</x:v>
      </x:c>
      <x:c r="F95" s="60" t="n">
        <x:v>6.420616439235722</x:v>
      </x:c>
      <x:c r="G95" s="60" t="n">
        <x:v>5.88</x:v>
      </x:c>
      <x:c r="H95" s="57" t="str">
        <x:v>modeled_latent_ensemble</x:v>
      </x:c>
    </x:row>
    <x:row r="96" ht="15" hidden="0" customHeight="1">
      <x:c r="A96" s="59" t="n">
        <x:v>91</x:v>
      </x:c>
      <x:c r="B96" s="59" t="n">
        <x:v>8.9666533504469</x:v>
      </x:c>
      <x:c r="C96" s="59" t="n">
        <x:v>5.997203063553085</x:v>
      </x:c>
      <x:c r="D96" s="59" t="n">
        <x:v>4.889270076829975</x:v>
      </x:c>
      <x:c r="E96" s="59" t="n">
        <x:v>3.195550544848248</x:v>
      </x:c>
      <x:c r="F96" s="59" t="n">
        <x:v>6.351322964321792</x:v>
      </x:c>
      <x:c r="G96" s="59" t="n">
        <x:v>5.880000000000001</x:v>
      </x:c>
      <x:c r="H96" s="58" t="str">
        <x:v>modeled_latent_ensemble</x:v>
      </x:c>
    </x:row>
    <x:row r="97" ht="15" hidden="0" customHeight="1">
      <x:c r="A97" s="60" t="n">
        <x:v>92</x:v>
      </x:c>
      <x:c r="B97" s="60" t="n">
        <x:v>8.910110383000207</x:v>
      </x:c>
      <x:c r="C97" s="60" t="n">
        <x:v>6.081176720465338</x:v>
      </x:c>
      <x:c r="D97" s="60" t="n">
        <x:v>5.144212652201073</x:v>
      </x:c>
      <x:c r="E97" s="60" t="n">
        <x:v>2.915266618581956</x:v>
      </x:c>
      <x:c r="F97" s="60" t="n">
        <x:v>6.3492336257514275</x:v>
      </x:c>
      <x:c r="G97" s="60" t="n">
        <x:v>5.880000000000001</x:v>
      </x:c>
      <x:c r="H97" s="57" t="str">
        <x:v>modeled_latent_ensemble</x:v>
      </x:c>
    </x:row>
    <x:row r="98" ht="15" hidden="0" customHeight="1">
      <x:c r="A98" s="59" t="n">
        <x:v>93</x:v>
      </x:c>
      <x:c r="B98" s="59" t="n">
        <x:v>8.85098206997425</x:v>
      </x:c>
      <x:c r="C98" s="59" t="n">
        <x:v>6.157640290196311</x:v>
      </x:c>
      <x:c r="D98" s="59" t="n">
        <x:v>5.056441512977205</x:v>
      </x:c>
      <x:c r="E98" s="59" t="n">
        <x:v>2.6951138250797375</x:v>
      </x:c>
      <x:c r="F98" s="59" t="n">
        <x:v>6.639822301772496</x:v>
      </x:c>
      <x:c r="G98" s="59" t="n">
        <x:v>5.880000000000001</x:v>
      </x:c>
      <x:c r="H98" s="58" t="str">
        <x:v>modeled_latent_ensemble</x:v>
      </x:c>
    </x:row>
    <x:row r="99" ht="15" hidden="0" customHeight="1">
      <x:c r="A99" s="60" t="n">
        <x:v>94</x:v>
      </x:c>
      <x:c r="B99" s="60" t="n">
        <x:v>8.86887436556456</x:v>
      </x:c>
      <x:c r="C99" s="60" t="n">
        <x:v>5.90496134560329</x:v>
      </x:c>
      <x:c r="D99" s="60" t="n">
        <x:v>4.874800247049002</x:v>
      </x:c>
      <x:c r="E99" s="60" t="n">
        <x:v>3.2613054117840616</x:v>
      </x:c>
      <x:c r="F99" s="60" t="n">
        <x:v>6.490058629999088</x:v>
      </x:c>
      <x:c r="G99" s="60" t="n">
        <x:v>5.88</x:v>
      </x:c>
      <x:c r="H99" s="57" t="str">
        <x:v>modeled_latent_ensemble</x:v>
      </x:c>
    </x:row>
    <x:row r="100" ht="15" hidden="0" customHeight="1">
      <x:c r="A100" s="59" t="n">
        <x:v>95</x:v>
      </x:c>
      <x:c r="B100" s="59" t="n">
        <x:v>8.816593075313357</x:v>
      </x:c>
      <x:c r="C100" s="59" t="n">
        <x:v>6.024743293166093</x:v>
      </x:c>
      <x:c r="D100" s="59" t="n">
        <x:v>5.118077897648384</x:v>
      </x:c>
      <x:c r="E100" s="59" t="n">
        <x:v>2.9983960643333325</x:v>
      </x:c>
      <x:c r="F100" s="59" t="n">
        <x:v>6.442189669538836</x:v>
      </x:c>
      <x:c r="G100" s="59" t="n">
        <x:v>5.88</x:v>
      </x:c>
      <x:c r="H100" s="58" t="str">
        <x:v>modeled_latent_ensemble</x:v>
      </x:c>
    </x:row>
    <x:row r="101" ht="15" hidden="0" customHeight="1">
      <x:c r="A101" s="60" t="n">
        <x:v>96</x:v>
      </x:c>
      <x:c r="B101" s="60" t="n">
        <x:v>8.959419952402062</x:v>
      </x:c>
      <x:c r="C101" s="60" t="n">
        <x:v>6.043527208025742</x:v>
      </x:c>
      <x:c r="D101" s="60" t="n">
        <x:v>4.987148927762008</x:v>
      </x:c>
      <x:c r="E101" s="60" t="n">
        <x:v>3.014133571121982</x:v>
      </x:c>
      <x:c r="F101" s="60" t="n">
        <x:v>6.395770340688207</x:v>
      </x:c>
      <x:c r="G101" s="60" t="n">
        <x:v>5.88</x:v>
      </x:c>
      <x:c r="H101" s="57" t="str">
        <x:v>modeled_latent_ensemble</x:v>
      </x:c>
    </x:row>
    <x:row r="102" ht="15" hidden="0" customHeight="1">
      <x:c r="A102" s="59" t="n">
        <x:v>97</x:v>
      </x:c>
      <x:c r="B102" s="59" t="n">
        <x:v>8.81576252750522</x:v>
      </x:c>
      <x:c r="C102" s="59" t="n">
        <x:v>6.04169884535124</x:v>
      </x:c>
      <x:c r="D102" s="59" t="n">
        <x:v>5.129234795457005</x:v>
      </x:c>
      <x:c r="E102" s="59" t="n">
        <x:v>2.9854580401527806</x:v>
      </x:c>
      <x:c r="F102" s="59" t="n">
        <x:v>6.427845791533758</x:v>
      </x:c>
      <x:c r="G102" s="59" t="n">
        <x:v>5.880000000000001</x:v>
      </x:c>
      <x:c r="H102" s="58" t="str">
        <x:v>modeled_latent_ensemble</x:v>
      </x:c>
    </x:row>
    <x:row r="103" ht="15" hidden="0" customHeight="1">
      <x:c r="A103" s="60" t="n">
        <x:v>98</x:v>
      </x:c>
      <x:c r="B103" s="60" t="n">
        <x:v>8.965579831650999</x:v>
      </x:c>
      <x:c r="C103" s="60" t="n">
        <x:v>6.196833272538833</x:v>
      </x:c>
      <x:c r="D103" s="60" t="n">
        <x:v>5.159602524689825</x:v>
      </x:c>
      <x:c r="E103" s="60" t="n">
        <x:v>2.792738178550491</x:v>
      </x:c>
      <x:c r="F103" s="60" t="n">
        <x:v>6.285246192569852</x:v>
      </x:c>
      <x:c r="G103" s="60" t="n">
        <x:v>5.88</x:v>
      </x:c>
      <x:c r="H103" s="57" t="str">
        <x:v>modeled_latent_ensemble</x:v>
      </x:c>
    </x:row>
    <x:row r="104" ht="15" hidden="0" customHeight="1">
      <x:c r="A104" s="59" t="n">
        <x:v>99</x:v>
      </x:c>
      <x:c r="B104" s="59" t="n">
        <x:v>8.868430396078692</x:v>
      </x:c>
      <x:c r="C104" s="59" t="n">
        <x:v>5.878911935835408</x:v>
      </x:c>
      <x:c r="D104" s="59" t="n">
        <x:v>5.0418351044263705</x:v>
      </x:c>
      <x:c r="E104" s="59" t="n">
        <x:v>3.1357264705120684</x:v>
      </x:c>
      <x:c r="F104" s="59" t="n">
        <x:v>6.475096093147463</x:v>
      </x:c>
      <x:c r="G104" s="59" t="n">
        <x:v>5.880000000000001</x:v>
      </x:c>
      <x:c r="H104" s="58" t="str">
        <x:v>modeled_latent_ensemble</x:v>
      </x:c>
    </x:row>
    <x:row r="105" ht="15" hidden="0" customHeight="1">
      <x:c r="A105" s="60" t="n">
        <x:v>100</x:v>
      </x:c>
      <x:c r="B105" s="60" t="n">
        <x:v>8.999343247829032</x:v>
      </x:c>
      <x:c r="C105" s="60" t="n">
        <x:v>6.14137358833073</x:v>
      </x:c>
      <x:c r="D105" s="60" t="n">
        <x:v>5.235293610844746</x:v>
      </x:c>
      <x:c r="E105" s="60" t="n">
        <x:v>2.546432530995529</x:v>
      </x:c>
      <x:c r="F105" s="60" t="n">
        <x:v>6.4775570219999645</x:v>
      </x:c>
      <x:c r="G105" s="60" t="n">
        <x:v>5.88</x:v>
      </x:c>
      <x:c r="H105" s="57" t="str">
        <x:v>modeled_latent_ensemble</x:v>
      </x:c>
    </x:row>
    <x:row r="106" ht="15" hidden="0" customHeight="1">
      <x:c r="A106" s="59" t="n">
        <x:v>101</x:v>
      </x:c>
      <x:c r="B106" s="59" t="n">
        <x:v>8.961089193186227</x:v>
      </x:c>
      <x:c r="C106" s="59" t="n">
        <x:v>6.068100221041006</x:v>
      </x:c>
      <x:c r="D106" s="59" t="n">
        <x:v>5.174670746017029</x:v>
      </x:c>
      <x:c r="E106" s="59" t="n">
        <x:v>2.9091845730237957</x:v>
      </x:c>
      <x:c r="F106" s="59" t="n">
        <x:v>6.286955266731942</x:v>
      </x:c>
      <x:c r="G106" s="59" t="n">
        <x:v>5.88</x:v>
      </x:c>
      <x:c r="H106" s="58" t="str">
        <x:v>modeled_latent_ensemble</x:v>
      </x:c>
    </x:row>
    <x:row r="107" ht="15" hidden="0" customHeight="1">
      <x:c r="A107" s="60" t="n">
        <x:v>102</x:v>
      </x:c>
      <x:c r="B107" s="60" t="n">
        <x:v>8.874792281153734</x:v>
      </x:c>
      <x:c r="C107" s="60" t="n">
        <x:v>6.0846074399393535</x:v>
      </x:c>
      <x:c r="D107" s="60" t="n">
        <x:v>5.005030385714871</x:v>
      </x:c>
      <x:c r="E107" s="60" t="n">
        <x:v>2.9736529953207635</x:v>
      </x:c>
      <x:c r="F107" s="60" t="n">
        <x:v>6.46191689787128</x:v>
      </x:c>
      <x:c r="G107" s="60" t="n">
        <x:v>5.880000000000001</x:v>
      </x:c>
      <x:c r="H107" s="57" t="str">
        <x:v>modeled_latent_ensemble</x:v>
      </x:c>
    </x:row>
    <x:row r="108" ht="15" hidden="0" customHeight="1">
      <x:c r="A108" s="59" t="n">
        <x:v>103</x:v>
      </x:c>
      <x:c r="B108" s="59" t="n">
        <x:v>8.938703143931997</x:v>
      </x:c>
      <x:c r="C108" s="59" t="n">
        <x:v>6.079705030888681</x:v>
      </x:c>
      <x:c r="D108" s="59" t="n">
        <x:v>5.211214436101881</x:v>
      </x:c>
      <x:c r="E108" s="59" t="n">
        <x:v>2.798559309579481</x:v>
      </x:c>
      <x:c r="F108" s="59" t="n">
        <x:v>6.371818079497961</x:v>
      </x:c>
      <x:c r="G108" s="59" t="n">
        <x:v>5.88</x:v>
      </x:c>
      <x:c r="H108" s="58" t="str">
        <x:v>modeled_latent_ensemble</x:v>
      </x:c>
    </x:row>
    <x:row r="109" ht="15" hidden="0" customHeight="1">
      <x:c r="A109" s="60" t="n">
        <x:v>104</x:v>
      </x:c>
      <x:c r="B109" s="60" t="n">
        <x:v>8.881421329354765</x:v>
      </x:c>
      <x:c r="C109" s="60" t="n">
        <x:v>6.018708401977563</x:v>
      </x:c>
      <x:c r="D109" s="60" t="n">
        <x:v>5.175891230540292</x:v>
      </x:c>
      <x:c r="E109" s="60" t="n">
        <x:v>2.813775929310066</x:v>
      </x:c>
      <x:c r="F109" s="60" t="n">
        <x:v>6.510203108817315</x:v>
      </x:c>
      <x:c r="G109" s="60" t="n">
        <x:v>5.88</x:v>
      </x:c>
      <x:c r="H109" s="57" t="str">
        <x:v>modeled_latent_ensemble</x:v>
      </x:c>
    </x:row>
    <x:row r="110" ht="15" hidden="0" customHeight="1">
      <x:c r="A110" s="59" t="n">
        <x:v>105</x:v>
      </x:c>
      <x:c r="B110" s="59" t="n">
        <x:v>8.887024182978</x:v>
      </x:c>
      <x:c r="C110" s="59" t="n">
        <x:v>6.133376605280468</x:v>
      </x:c>
      <x:c r="D110" s="59" t="n">
        <x:v>5.153071538636107</x:v>
      </x:c>
      <x:c r="E110" s="59" t="n">
        <x:v>2.666004789878349</x:v>
      </x:c>
      <x:c r="F110" s="59" t="n">
        <x:v>6.56052288322708</x:v>
      </x:c>
      <x:c r="G110" s="59" t="n">
        <x:v>5.880000000000001</x:v>
      </x:c>
      <x:c r="H110" s="58" t="str">
        <x:v>modeled_latent_ensemble</x:v>
      </x:c>
    </x:row>
    <x:row r="111" ht="15" hidden="0" customHeight="1">
      <x:c r="A111" s="60" t="n">
        <x:v>106</x:v>
      </x:c>
      <x:c r="B111" s="60" t="n">
        <x:v>8.749848424270919</x:v>
      </x:c>
      <x:c r="C111" s="60" t="n">
        <x:v>5.975638644024782</x:v>
      </x:c>
      <x:c r="D111" s="60" t="n">
        <x:v>5.244308733948917</x:v>
      </x:c>
      <x:c r="E111" s="60" t="n">
        <x:v>2.859478373801309</x:v>
      </x:c>
      <x:c r="F111" s="60" t="n">
        <x:v>6.570725823954075</x:v>
      </x:c>
      <x:c r="G111" s="60" t="n">
        <x:v>5.880000000000001</x:v>
      </x:c>
      <x:c r="H111" s="57" t="str">
        <x:v>modeled_latent_ensemble</x:v>
      </x:c>
    </x:row>
    <x:row r="112" ht="15" hidden="0" customHeight="1">
      <x:c r="A112" s="59" t="n">
        <x:v>107</x:v>
      </x:c>
      <x:c r="B112" s="59" t="n">
        <x:v>8.858917743414212</x:v>
      </x:c>
      <x:c r="C112" s="59" t="n">
        <x:v>6.093428740540598</x:v>
      </x:c>
      <x:c r="D112" s="59" t="n">
        <x:v>5.013121588716598</x:v>
      </x:c>
      <x:c r="E112" s="59" t="n">
        <x:v>2.9454981556814834</x:v>
      </x:c>
      <x:c r="F112" s="59" t="n">
        <x:v>6.48903377164711</x:v>
      </x:c>
      <x:c r="G112" s="59" t="n">
        <x:v>5.88</x:v>
      </x:c>
      <x:c r="H112" s="58" t="str">
        <x:v>modeled_latent_ensemble</x:v>
      </x:c>
    </x:row>
    <x:row r="113" ht="15" hidden="0" customHeight="1">
      <x:c r="A113" s="60" t="n">
        <x:v>108</x:v>
      </x:c>
      <x:c r="B113" s="60" t="n">
        <x:v>8.956737433056233</x:v>
      </x:c>
      <x:c r="C113" s="60" t="n">
        <x:v>6.0320103018143705</x:v>
      </x:c>
      <x:c r="D113" s="60" t="n">
        <x:v>5.0856289588390275</x:v>
      </x:c>
      <x:c r="E113" s="60" t="n">
        <x:v>2.8980062136330793</x:v>
      </x:c>
      <x:c r="F113" s="60" t="n">
        <x:v>6.427617092657291</x:v>
      </x:c>
      <x:c r="G113" s="60" t="n">
        <x:v>5.88</x:v>
      </x:c>
      <x:c r="H113" s="57" t="str">
        <x:v>modeled_latent_ensemble</x:v>
      </x:c>
    </x:row>
    <x:row r="114" ht="15" hidden="0" customHeight="1">
      <x:c r="A114" s="59" t="n">
        <x:v>109</x:v>
      </x:c>
      <x:c r="B114" s="59" t="n">
        <x:v>8.890367754300344</x:v>
      </x:c>
      <x:c r="C114" s="59" t="n">
        <x:v>6.065080094395972</x:v>
      </x:c>
      <x:c r="D114" s="59" t="n">
        <x:v>5.153676712459547</x:v>
      </x:c>
      <x:c r="E114" s="59" t="n">
        <x:v>2.7805719364117287</x:v>
      </x:c>
      <x:c r="F114" s="59" t="n">
        <x:v>6.51030350243241</x:v>
      </x:c>
      <x:c r="G114" s="59" t="n">
        <x:v>5.880000000000001</x:v>
      </x:c>
      <x:c r="H114" s="58" t="str">
        <x:v>modeled_latent_ensemble</x:v>
      </x:c>
    </x:row>
    <x:row r="115" ht="15" hidden="0" customHeight="1">
      <x:c r="A115" s="60" t="n">
        <x:v>110</x:v>
      </x:c>
      <x:c r="B115" s="60" t="n">
        <x:v>8.85480707500312</x:v>
      </x:c>
      <x:c r="C115" s="60" t="n">
        <x:v>6.073239084754844</x:v>
      </x:c>
      <x:c r="D115" s="60" t="n">
        <x:v>5.0719801004749705</x:v>
      </x:c>
      <x:c r="E115" s="60" t="n">
        <x:v>2.895333288998285</x:v>
      </x:c>
      <x:c r="F115" s="60" t="n">
        <x:v>6.504640450768783</x:v>
      </x:c>
      <x:c r="G115" s="60" t="n">
        <x:v>5.880000000000001</x:v>
      </x:c>
      <x:c r="H115" s="57" t="str">
        <x:v>modeled_latent_ensemble</x:v>
      </x:c>
    </x:row>
    <x:row r="116" ht="15" hidden="0" customHeight="1">
      <x:c r="A116" s="59" t="n">
        <x:v>111</x:v>
      </x:c>
      <x:c r="B116" s="59" t="n">
        <x:v>8.769838167211445</x:v>
      </x:c>
      <x:c r="C116" s="59" t="n">
        <x:v>5.938906213763749</x:v>
      </x:c>
      <x:c r="D116" s="59" t="n">
        <x:v>5.035034873140426</x:v>
      </x:c>
      <x:c r="E116" s="59" t="n">
        <x:v>3.2656288973569123</x:v>
      </x:c>
      <x:c r="F116" s="59" t="n">
        <x:v>6.390591848527468</x:v>
      </x:c>
      <x:c r="G116" s="59" t="n">
        <x:v>5.88</x:v>
      </x:c>
      <x:c r="H116" s="58" t="str">
        <x:v>modeled_latent_ensemble</x:v>
      </x:c>
    </x:row>
    <x:row r="117" ht="15" hidden="0" customHeight="1">
      <x:c r="A117" s="60" t="n">
        <x:v>112</x:v>
      </x:c>
      <x:c r="B117" s="60" t="n">
        <x:v>8.979316150731286</x:v>
      </x:c>
      <x:c r="C117" s="60" t="n">
        <x:v>6.162973679557068</x:v>
      </x:c>
      <x:c r="D117" s="60" t="n">
        <x:v>5.1287001085048525</x:v>
      </x:c>
      <x:c r="E117" s="60" t="n">
        <x:v>2.7618322749994286</x:v>
      </x:c>
      <x:c r="F117" s="60" t="n">
        <x:v>6.367177786207365</x:v>
      </x:c>
      <x:c r="G117" s="60" t="n">
        <x:v>5.88</x:v>
      </x:c>
      <x:c r="H117" s="57" t="str">
        <x:v>modeled_latent_ensemble</x:v>
      </x:c>
    </x:row>
    <x:row r="118" ht="15" hidden="0" customHeight="1">
      <x:c r="A118" s="59" t="n">
        <x:v>113</x:v>
      </x:c>
      <x:c r="B118" s="59" t="n">
        <x:v>8.948474828788562</x:v>
      </x:c>
      <x:c r="C118" s="59" t="n">
        <x:v>5.995739324533664</x:v>
      </x:c>
      <x:c r="D118" s="59" t="n">
        <x:v>5.082037234098786</x:v>
      </x:c>
      <x:c r="E118" s="59" t="n">
        <x:v>2.935358371809434</x:v>
      </x:c>
      <x:c r="F118" s="59" t="n">
        <x:v>6.438390240769555</x:v>
      </x:c>
      <x:c r="G118" s="59" t="n">
        <x:v>5.880000000000001</x:v>
      </x:c>
      <x:c r="H118" s="58" t="str">
        <x:v>modeled_latent_ensemble</x:v>
      </x:c>
    </x:row>
    <x:row r="119" ht="15" hidden="0" customHeight="1">
      <x:c r="A119" s="60" t="n">
        <x:v>114</x:v>
      </x:c>
      <x:c r="B119" s="60" t="n">
        <x:v>9.008524454541854</x:v>
      </x:c>
      <x:c r="C119" s="60" t="n">
        <x:v>6.1274551488023405</x:v>
      </x:c>
      <x:c r="D119" s="60" t="n">
        <x:v>4.894545107929544</x:v>
      </x:c>
      <x:c r="E119" s="60" t="n">
        <x:v>2.788848911069062</x:v>
      </x:c>
      <x:c r="F119" s="60" t="n">
        <x:v>6.580626377657199</x:v>
      </x:c>
      <x:c r="G119" s="60" t="n">
        <x:v>5.880000000000001</x:v>
      </x:c>
      <x:c r="H119" s="57" t="str">
        <x:v>modeled_latent_ensemble</x:v>
      </x:c>
    </x:row>
    <x:row r="120" ht="15" hidden="0" customHeight="1">
      <x:c r="A120" s="59" t="n">
        <x:v>115</x:v>
      </x:c>
      <x:c r="B120" s="59" t="n">
        <x:v>8.874112266463408</x:v>
      </x:c>
      <x:c r="C120" s="59" t="n">
        <x:v>5.948391855978292</x:v>
      </x:c>
      <x:c r="D120" s="59" t="n">
        <x:v>5.072226056490824</x:v>
      </x:c>
      <x:c r="E120" s="59" t="n">
        <x:v>2.9785795954618846</x:v>
      </x:c>
      <x:c r="F120" s="59" t="n">
        <x:v>6.526690225605591</x:v>
      </x:c>
      <x:c r="G120" s="59" t="n">
        <x:v>5.88</x:v>
      </x:c>
      <x:c r="H120" s="58" t="str">
        <x:v>modeled_latent_ensemble</x:v>
      </x:c>
    </x:row>
    <x:row r="121" ht="15" hidden="0" customHeight="1">
      <x:c r="A121" s="60" t="n">
        <x:v>116</x:v>
      </x:c>
      <x:c r="B121" s="60" t="n">
        <x:v>9.03655210720449</x:v>
      </x:c>
      <x:c r="C121" s="60" t="n">
        <x:v>6.055364391244762</x:v>
      </x:c>
      <x:c r="D121" s="60" t="n">
        <x:v>5.30265689802639</x:v>
      </x:c>
      <x:c r="E121" s="60" t="n">
        <x:v>2.3471727166382834</x:v>
      </x:c>
      <x:c r="F121" s="60" t="n">
        <x:v>6.658253886886077</x:v>
      </x:c>
      <x:c r="G121" s="60" t="n">
        <x:v>5.880000000000001</x:v>
      </x:c>
      <x:c r="H121" s="57" t="str">
        <x:v>modeled_latent_ensemble</x:v>
      </x:c>
    </x:row>
    <x:row r="122" ht="15" hidden="0" customHeight="1">
      <x:c r="A122" s="59" t="n">
        <x:v>117</x:v>
      </x:c>
      <x:c r="B122" s="59" t="n">
        <x:v>8.891137240223925</x:v>
      </x:c>
      <x:c r="C122" s="59" t="n">
        <x:v>5.9354689626987165</x:v>
      </x:c>
      <x:c r="D122" s="59" t="n">
        <x:v>4.920234557984424</x:v>
      </x:c>
      <x:c r="E122" s="59" t="n">
        <x:v>3.040454734708303</x:v>
      </x:c>
      <x:c r="F122" s="59" t="n">
        <x:v>6.612704504384632</x:v>
      </x:c>
      <x:c r="G122" s="59" t="n">
        <x:v>5.879999999999999</x:v>
      </x:c>
      <x:c r="H122" s="58" t="str">
        <x:v>modeled_latent_ensemble</x:v>
      </x:c>
    </x:row>
    <x:row r="123" ht="15" hidden="0" customHeight="1">
      <x:c r="A123" s="60" t="n">
        <x:v>118</x:v>
      </x:c>
      <x:c r="B123" s="60" t="n">
        <x:v>8.893620582512</x:v>
      </x:c>
      <x:c r="C123" s="60" t="n">
        <x:v>6.185577548837875</x:v>
      </x:c>
      <x:c r="D123" s="60" t="n">
        <x:v>5.125157546308309</x:v>
      </x:c>
      <x:c r="E123" s="60" t="n">
        <x:v>2.9266716285784447</x:v>
      </x:c>
      <x:c r="F123" s="60" t="n">
        <x:v>6.268972693763372</x:v>
      </x:c>
      <x:c r="G123" s="60" t="n">
        <x:v>5.88</x:v>
      </x:c>
      <x:c r="H123" s="57" t="str">
        <x:v>modeled_latent_ensemble</x:v>
      </x:c>
    </x:row>
    <x:row r="124" ht="15" hidden="0" customHeight="1">
      <x:c r="A124" s="59" t="n">
        <x:v>119</x:v>
      </x:c>
      <x:c r="B124" s="59" t="n">
        <x:v>8.806519529482463</x:v>
      </x:c>
      <x:c r="C124" s="59" t="n">
        <x:v>5.948886569674896</x:v>
      </x:c>
      <x:c r="D124" s="59" t="n">
        <x:v>5.173663671988735</x:v>
      </x:c>
      <x:c r="E124" s="59" t="n">
        <x:v>3.1462281113151307</x:v>
      </x:c>
      <x:c r="F124" s="59" t="n">
        <x:v>6.324702117538776</x:v>
      </x:c>
      <x:c r="G124" s="59" t="n">
        <x:v>5.880000000000001</x:v>
      </x:c>
      <x:c r="H124" s="58" t="str">
        <x:v>modeled_latent_ensemble</x:v>
      </x:c>
    </x:row>
    <x:row r="125" ht="15" hidden="0" customHeight="1">
      <x:c r="A125" s="60" t="n">
        <x:v>120</x:v>
      </x:c>
      <x:c r="B125" s="60" t="n">
        <x:v>8.901209417112092</x:v>
      </x:c>
      <x:c r="C125" s="60" t="n">
        <x:v>6.0455982036003375</x:v>
      </x:c>
      <x:c r="D125" s="60" t="n">
        <x:v>5.319305682705364</x:v>
      </x:c>
      <x:c r="E125" s="60" t="n">
        <x:v>2.6233765368521142</x:v>
      </x:c>
      <x:c r="F125" s="60" t="n">
        <x:v>6.510510159730094</x:v>
      </x:c>
      <x:c r="G125" s="60" t="n">
        <x:v>5.880000000000001</x:v>
      </x:c>
      <x:c r="H125" s="57" t="str">
        <x:v>modeled_latent_ensemble</x:v>
      </x:c>
    </x:row>
    <x:row r="126" ht="15" hidden="0" customHeight="1">
      <x:c r="A126" s="59" t="n">
        <x:v>121</x:v>
      </x:c>
      <x:c r="B126" s="59" t="n">
        <x:v>8.85354288455542</x:v>
      </x:c>
      <x:c r="C126" s="59" t="n">
        <x:v>5.898542274410343</x:v>
      </x:c>
      <x:c r="D126" s="59" t="n">
        <x:v>5.0723256496768405</x:v>
      </x:c>
      <x:c r="E126" s="59" t="n">
        <x:v>2.9779725283631997</x:v>
      </x:c>
      <x:c r="F126" s="59" t="n">
        <x:v>6.597616662994198</x:v>
      </x:c>
      <x:c r="G126" s="59" t="n">
        <x:v>5.880000000000001</x:v>
      </x:c>
      <x:c r="H126" s="58" t="str">
        <x:v>modeled_latent_ensemble</x:v>
      </x:c>
    </x:row>
    <x:row r="127" ht="15" hidden="0" customHeight="1">
      <x:c r="A127" s="60" t="n">
        <x:v>122</x:v>
      </x:c>
      <x:c r="B127" s="60" t="n">
        <x:v>8.886907167339093</x:v>
      </x:c>
      <x:c r="C127" s="60" t="n">
        <x:v>6.021339427013031</x:v>
      </x:c>
      <x:c r="D127" s="60" t="n">
        <x:v>4.823877939855791</x:v>
      </x:c>
      <x:c r="E127" s="60" t="n">
        <x:v>3.3568316290315816</x:v>
      </x:c>
      <x:c r="F127" s="60" t="n">
        <x:v>6.311043836760504</x:v>
      </x:c>
      <x:c r="G127" s="60" t="n">
        <x:v>5.880000000000001</x:v>
      </x:c>
      <x:c r="H127" s="57" t="str">
        <x:v>modeled_latent_ensemble</x:v>
      </x:c>
    </x:row>
    <x:row r="128" ht="15" hidden="0" customHeight="1">
      <x:c r="A128" s="59" t="n">
        <x:v>123</x:v>
      </x:c>
      <x:c r="B128" s="59" t="n">
        <x:v>8.82799776726558</x:v>
      </x:c>
      <x:c r="C128" s="59" t="n">
        <x:v>6.046156252618831</x:v>
      </x:c>
      <x:c r="D128" s="59" t="n">
        <x:v>4.941733940526954</x:v>
      </x:c>
      <x:c r="E128" s="59" t="n">
        <x:v>3.1201440069733946</x:v>
      </x:c>
      <x:c r="F128" s="59" t="n">
        <x:v>6.463968032615241</x:v>
      </x:c>
      <x:c r="G128" s="59" t="n">
        <x:v>5.880000000000001</x:v>
      </x:c>
      <x:c r="H128" s="58" t="str">
        <x:v>modeled_latent_ensemble</x:v>
      </x:c>
    </x:row>
    <x:row r="129" ht="15" hidden="0" customHeight="1">
      <x:c r="A129" s="60" t="n">
        <x:v>124</x:v>
      </x:c>
      <x:c r="B129" s="60" t="n">
        <x:v>8.842897321941154</x:v>
      </x:c>
      <x:c r="C129" s="60" t="n">
        <x:v>5.986310630367544</x:v>
      </x:c>
      <x:c r="D129" s="60" t="n">
        <x:v>5.278994840091761</x:v>
      </x:c>
      <x:c r="E129" s="60" t="n">
        <x:v>3.0216115810904083</x:v>
      </x:c>
      <x:c r="F129" s="60" t="n">
        <x:v>6.270185626509135</x:v>
      </x:c>
      <x:c r="G129" s="60" t="n">
        <x:v>5.880000000000001</x:v>
      </x:c>
      <x:c r="H129" s="57" t="str">
        <x:v>modeled_latent_ensemble</x:v>
      </x:c>
    </x:row>
    <x:row r="130" ht="15" hidden="0" customHeight="1">
      <x:c r="A130" s="59" t="n">
        <x:v>125</x:v>
      </x:c>
      <x:c r="B130" s="59" t="n">
        <x:v>8.81275795008189</x:v>
      </x:c>
      <x:c r="C130" s="59" t="n">
        <x:v>6.106901916387255</x:v>
      </x:c>
      <x:c r="D130" s="59" t="n">
        <x:v>5.119853380386634</x:v>
      </x:c>
      <x:c r="E130" s="59" t="n">
        <x:v>3.099624694118146</x:v>
      </x:c>
      <x:c r="F130" s="59" t="n">
        <x:v>6.260862059026078</x:v>
      </x:c>
      <x:c r="G130" s="59" t="n">
        <x:v>5.880000000000001</x:v>
      </x:c>
      <x:c r="H130" s="58" t="str">
        <x:v>modeled_latent_ensemble</x:v>
      </x:c>
    </x:row>
    <x:row r="131" ht="15" hidden="0" customHeight="1">
      <x:c r="A131" s="60" t="n">
        <x:v>126</x:v>
      </x:c>
      <x:c r="B131" s="60" t="n">
        <x:v>8.926315769336572</x:v>
      </x:c>
      <x:c r="C131" s="60" t="n">
        <x:v>6.0352067480603075</x:v>
      </x:c>
      <x:c r="D131" s="60" t="n">
        <x:v>4.985093391409071</x:v>
      </x:c>
      <x:c r="E131" s="60" t="n">
        <x:v>3.1212378709905297</x:v>
      </x:c>
      <x:c r="F131" s="60" t="n">
        <x:v>6.33214622020352</x:v>
      </x:c>
      <x:c r="G131" s="60" t="n">
        <x:v>5.880000000000001</x:v>
      </x:c>
      <x:c r="H131" s="57" t="str">
        <x:v>modeled_latent_ensemble</x:v>
      </x:c>
    </x:row>
    <x:row r="132" ht="15" hidden="0" customHeight="1">
      <x:c r="A132" s="59" t="n">
        <x:v>127</x:v>
      </x:c>
      <x:c r="B132" s="59" t="n">
        <x:v>8.860315539530097</x:v>
      </x:c>
      <x:c r="C132" s="59" t="n">
        <x:v>6.031772134848145</x:v>
      </x:c>
      <x:c r="D132" s="59" t="n">
        <x:v>5.184958020970691</x:v>
      </x:c>
      <x:c r="E132" s="59" t="n">
        <x:v>2.9262537102915984</x:v>
      </x:c>
      <x:c r="F132" s="59" t="n">
        <x:v>6.396700594359471</x:v>
      </x:c>
      <x:c r="G132" s="59" t="n">
        <x:v>5.88</x:v>
      </x:c>
      <x:c r="H132" s="58" t="str">
        <x:v>modeled_latent_ensemble</x:v>
      </x:c>
    </x:row>
    <x:row r="133" ht="15" hidden="0" customHeight="1">
      <x:c r="A133" s="60" t="n">
        <x:v>128</x:v>
      </x:c>
      <x:c r="B133" s="60" t="n">
        <x:v>8.783523243023726</x:v>
      </x:c>
      <x:c r="C133" s="60" t="n">
        <x:v>6.040716177594232</x:v>
      </x:c>
      <x:c r="D133" s="60" t="n">
        <x:v>5.111758692484809</x:v>
      </x:c>
      <x:c r="E133" s="60" t="n">
        <x:v>2.809663270667909</x:v>
      </x:c>
      <x:c r="F133" s="60" t="n">
        <x:v>6.654338616229325</x:v>
      </x:c>
      <x:c r="G133" s="60" t="n">
        <x:v>5.880000000000001</x:v>
      </x:c>
      <x:c r="H133" s="57" t="str">
        <x:v>modeled_latent_ensemble</x:v>
      </x:c>
    </x:row>
    <x:row r="134" ht="15" hidden="0" customHeight="1">
      <x:c r="A134" s="59" t="n">
        <x:v>129</x:v>
      </x:c>
      <x:c r="B134" s="59" t="n">
        <x:v>8.786393386936217</x:v>
      </x:c>
      <x:c r="C134" s="59" t="n">
        <x:v>5.9986283829051255</x:v>
      </x:c>
      <x:c r="D134" s="59" t="n">
        <x:v>4.910670160793553</x:v>
      </x:c>
      <x:c r="E134" s="59" t="n">
        <x:v>3.4688502710740563</x:v>
      </x:c>
      <x:c r="F134" s="59" t="n">
        <x:v>6.23545779829105</x:v>
      </x:c>
      <x:c r="G134" s="59" t="n">
        <x:v>5.880000000000001</x:v>
      </x:c>
      <x:c r="H134" s="58" t="str">
        <x:v>modeled_latent_ensemble</x:v>
      </x:c>
    </x:row>
    <x:row r="135" ht="15" hidden="0" customHeight="1">
      <x:c r="A135" s="60" t="n">
        <x:v>130</x:v>
      </x:c>
      <x:c r="B135" s="60" t="n">
        <x:v>8.797542836152216</x:v>
      </x:c>
      <x:c r="C135" s="60" t="n">
        <x:v>5.889277459357026</x:v>
      </x:c>
      <x:c r="D135" s="60" t="n">
        <x:v>4.796334410708657</x:v>
      </x:c>
      <x:c r="E135" s="60" t="n">
        <x:v>3.5550095400720205</x:v>
      </x:c>
      <x:c r="F135" s="60" t="n">
        <x:v>6.361835753710083</x:v>
      </x:c>
      <x:c r="G135" s="60" t="n">
        <x:v>5.880000000000001</x:v>
      </x:c>
      <x:c r="H135" s="57" t="str">
        <x:v>modeled_latent_ensemble</x:v>
      </x:c>
    </x:row>
    <x:row r="136" ht="15" hidden="0" customHeight="1">
      <x:c r="A136" s="59" t="n">
        <x:v>131</x:v>
      </x:c>
      <x:c r="B136" s="59" t="n">
        <x:v>9.034918116056602</x:v>
      </x:c>
      <x:c r="C136" s="59" t="n">
        <x:v>6.060252317822047</x:v>
      </x:c>
      <x:c r="D136" s="59" t="n">
        <x:v>5.064119878629993</x:v>
      </x:c>
      <x:c r="E136" s="59" t="n">
        <x:v>2.5624574414013903</x:v>
      </x:c>
      <x:c r="F136" s="59" t="n">
        <x:v>6.678252246089969</x:v>
      </x:c>
      <x:c r="G136" s="59" t="n">
        <x:v>5.88</x:v>
      </x:c>
      <x:c r="H136" s="58" t="str">
        <x:v>modeled_latent_ensemble</x:v>
      </x:c>
    </x:row>
    <x:row r="137" ht="15" hidden="0" customHeight="1">
      <x:c r="A137" s="60" t="n">
        <x:v>132</x:v>
      </x:c>
      <x:c r="B137" s="60" t="n">
        <x:v>8.938380826925247</x:v>
      </x:c>
      <x:c r="C137" s="60" t="n">
        <x:v>5.903447824932924</x:v>
      </x:c>
      <x:c r="D137" s="60" t="n">
        <x:v>5.306007803285658</x:v>
      </x:c>
      <x:c r="E137" s="60" t="n">
        <x:v>2.7703825406093427</x:v>
      </x:c>
      <x:c r="F137" s="60" t="n">
        <x:v>6.481781004246829</x:v>
      </x:c>
      <x:c r="G137" s="60" t="n">
        <x:v>5.880000000000001</x:v>
      </x:c>
      <x:c r="H137" s="57" t="str">
        <x:v>modeled_latent_ensemble</x:v>
      </x:c>
    </x:row>
    <x:row r="138" ht="15" hidden="0" customHeight="1">
      <x:c r="A138" s="59" t="n">
        <x:v>133</x:v>
      </x:c>
      <x:c r="B138" s="59" t="n">
        <x:v>8.852517392244534</x:v>
      </x:c>
      <x:c r="C138" s="59" t="n">
        <x:v>6.016253244026749</x:v>
      </x:c>
      <x:c r="D138" s="59" t="n">
        <x:v>5.052478189804</x:v>
      </x:c>
      <x:c r="E138" s="59" t="n">
        <x:v>3.187053209320038</x:v>
      </x:c>
      <x:c r="F138" s="59" t="n">
        <x:v>6.291697964604681</x:v>
      </x:c>
      <x:c r="G138" s="59" t="n">
        <x:v>5.88</x:v>
      </x:c>
      <x:c r="H138" s="58" t="str">
        <x:v>modeled_latent_ensemble</x:v>
      </x:c>
    </x:row>
    <x:row r="139" ht="15" hidden="0" customHeight="1">
      <x:c r="A139" s="60" t="n">
        <x:v>134</x:v>
      </x:c>
      <x:c r="B139" s="60" t="n">
        <x:v>8.860797519650369</x:v>
      </x:c>
      <x:c r="C139" s="60" t="n">
        <x:v>6.021825095135771</x:v>
      </x:c>
      <x:c r="D139" s="60" t="n">
        <x:v>5.048607401063132</x:v>
      </x:c>
      <x:c r="E139" s="60" t="n">
        <x:v>3.063291368013007</x:v>
      </x:c>
      <x:c r="F139" s="60" t="n">
        <x:v>6.405478616137723</x:v>
      </x:c>
      <x:c r="G139" s="60" t="n">
        <x:v>5.880000000000001</x:v>
      </x:c>
      <x:c r="H139" s="57" t="str">
        <x:v>modeled_latent_ensemble</x:v>
      </x:c>
    </x:row>
    <x:row r="140" ht="15" hidden="0" customHeight="1">
      <x:c r="A140" s="59" t="n">
        <x:v>135</x:v>
      </x:c>
      <x:c r="B140" s="59" t="n">
        <x:v>8.7371445813937</x:v>
      </x:c>
      <x:c r="C140" s="59" t="n">
        <x:v>5.919680889962414</x:v>
      </x:c>
      <x:c r="D140" s="59" t="n">
        <x:v>5.045800861881073</x:v>
      </x:c>
      <x:c r="E140" s="59" t="n">
        <x:v>3.516782664146612</x:v>
      </x:c>
      <x:c r="F140" s="59" t="n">
        <x:v>6.180591002616201</x:v>
      </x:c>
      <x:c r="G140" s="59" t="n">
        <x:v>5.88</x:v>
      </x:c>
      <x:c r="H140" s="58" t="str">
        <x:v>modeled_latent_ensemble</x:v>
      </x:c>
    </x:row>
    <x:row r="141" ht="15" hidden="0" customHeight="1">
      <x:c r="A141" s="60" t="n">
        <x:v>136</x:v>
      </x:c>
      <x:c r="B141" s="60" t="n">
        <x:v>8.772109448883525</x:v>
      </x:c>
      <x:c r="C141" s="60" t="n">
        <x:v>6.038179335281778</x:v>
      </x:c>
      <x:c r="D141" s="60" t="n">
        <x:v>4.942662486583806</x:v>
      </x:c>
      <x:c r="E141" s="60" t="n">
        <x:v>3.1455213493767133</x:v>
      </x:c>
      <x:c r="F141" s="60" t="n">
        <x:v>6.5015273798741795</x:v>
      </x:c>
      <x:c r="G141" s="60" t="n">
        <x:v>5.880000000000001</x:v>
      </x:c>
      <x:c r="H141" s="57" t="str">
        <x:v>modeled_latent_ensemble</x:v>
      </x:c>
    </x:row>
    <x:row r="142" ht="15" hidden="0" customHeight="1">
      <x:c r="A142" s="59" t="n">
        <x:v>137</x:v>
      </x:c>
      <x:c r="B142" s="59" t="n">
        <x:v>8.934014656502269</x:v>
      </x:c>
      <x:c r="C142" s="59" t="n">
        <x:v>5.975111504789842</x:v>
      </x:c>
      <x:c r="D142" s="59" t="n">
        <x:v>5.062584905376995</x:v>
      </x:c>
      <x:c r="E142" s="59" t="n">
        <x:v>2.94831525326046</x:v>
      </x:c>
      <x:c r="F142" s="59" t="n">
        <x:v>6.479973680070436</x:v>
      </x:c>
      <x:c r="G142" s="59" t="n">
        <x:v>5.880000000000001</x:v>
      </x:c>
      <x:c r="H142" s="58" t="str">
        <x:v>modeled_latent_ensemble</x:v>
      </x:c>
    </x:row>
    <x:row r="143" ht="15" hidden="0" customHeight="1">
      <x:c r="A143" s="60" t="n">
        <x:v>138</x:v>
      </x:c>
      <x:c r="B143" s="60" t="n">
        <x:v>8.95191654319013</x:v>
      </x:c>
      <x:c r="C143" s="60" t="n">
        <x:v>6.079039002225219</x:v>
      </x:c>
      <x:c r="D143" s="60" t="n">
        <x:v>5.258290883565216</x:v>
      </x:c>
      <x:c r="E143" s="60" t="n">
        <x:v>2.5069284581575166</x:v>
      </x:c>
      <x:c r="F143" s="60" t="n">
        <x:v>6.6038251128619185</x:v>
      </x:c>
      <x:c r="G143" s="60" t="n">
        <x:v>5.880000000000001</x:v>
      </x:c>
      <x:c r="H143" s="57" t="str">
        <x:v>modeled_latent_ensemble</x:v>
      </x:c>
    </x:row>
    <x:row r="144" ht="15" hidden="0" customHeight="1">
      <x:c r="A144" s="59" t="n">
        <x:v>139</x:v>
      </x:c>
      <x:c r="B144" s="59" t="n">
        <x:v>8.945664121934998</x:v>
      </x:c>
      <x:c r="C144" s="59" t="n">
        <x:v>5.952420645103418</x:v>
      </x:c>
      <x:c r="D144" s="59" t="n">
        <x:v>5.257393120362009</x:v>
      </x:c>
      <x:c r="E144" s="59" t="n">
        <x:v>2.783261739139957</x:v>
      </x:c>
      <x:c r="F144" s="59" t="n">
        <x:v>6.46126037345962</x:v>
      </x:c>
      <x:c r="G144" s="59" t="n">
        <x:v>5.88</x:v>
      </x:c>
      <x:c r="H144" s="58" t="str">
        <x:v>modeled_latent_ensemble</x:v>
      </x:c>
    </x:row>
    <x:row r="145" ht="15" hidden="0" customHeight="1">
      <x:c r="A145" s="60" t="n">
        <x:v>140</x:v>
      </x:c>
      <x:c r="B145" s="60" t="n">
        <x:v>9.024298757286834</x:v>
      </x:c>
      <x:c r="C145" s="60" t="n">
        <x:v>6.0690631369849255</x:v>
      </x:c>
      <x:c r="D145" s="60" t="n">
        <x:v>5.239928531578328</x:v>
      </x:c>
      <x:c r="E145" s="60" t="n">
        <x:v>2.6402759034554055</x:v>
      </x:c>
      <x:c r="F145" s="60" t="n">
        <x:v>6.426433670694508</x:v>
      </x:c>
      <x:c r="G145" s="60" t="n">
        <x:v>5.88</x:v>
      </x:c>
      <x:c r="H145" s="57" t="str">
        <x:v>modeled_latent_ensemble</x:v>
      </x:c>
    </x:row>
    <x:row r="146" ht="15" hidden="0" customHeight="1">
      <x:c r="A146" s="59" t="n">
        <x:v>141</x:v>
      </x:c>
      <x:c r="B146" s="59" t="n">
        <x:v>8.935255550497875</x:v>
      </x:c>
      <x:c r="C146" s="59" t="n">
        <x:v>5.886763817684619</x:v>
      </x:c>
      <x:c r="D146" s="59" t="n">
        <x:v>4.954373421211677</x:v>
      </x:c>
      <x:c r="E146" s="59" t="n">
        <x:v>3.23611652010004</x:v>
      </x:c>
      <x:c r="F146" s="59" t="n">
        <x:v>6.38749069050579</x:v>
      </x:c>
      <x:c r="G146" s="59" t="n">
        <x:v>5.88</x:v>
      </x:c>
      <x:c r="H146" s="58" t="str">
        <x:v>modeled_latent_ensemble</x:v>
      </x:c>
    </x:row>
    <x:row r="147" ht="15" hidden="0" customHeight="1">
      <x:c r="A147" s="60" t="n">
        <x:v>142</x:v>
      </x:c>
      <x:c r="B147" s="60" t="n">
        <x:v>8.820907074524149</x:v>
      </x:c>
      <x:c r="C147" s="60" t="n">
        <x:v>6.013428446223007</x:v>
      </x:c>
      <x:c r="D147" s="60" t="n">
        <x:v>5.180171282613351</x:v>
      </x:c>
      <x:c r="E147" s="60" t="n">
        <x:v>2.9802428100849547</x:v>
      </x:c>
      <x:c r="F147" s="60" t="n">
        <x:v>6.405250386554538</x:v>
      </x:c>
      <x:c r="G147" s="60" t="n">
        <x:v>5.880000000000001</x:v>
      </x:c>
      <x:c r="H147" s="57" t="str">
        <x:v>modeled_latent_ensemble</x:v>
      </x:c>
    </x:row>
    <x:row r="148" ht="15" hidden="0" customHeight="1">
      <x:c r="A148" s="59" t="n">
        <x:v>143</x:v>
      </x:c>
      <x:c r="B148" s="59" t="n">
        <x:v>8.945780069214784</x:v>
      </x:c>
      <x:c r="C148" s="59" t="n">
        <x:v>6.024888887078194</x:v>
      </x:c>
      <x:c r="D148" s="59" t="n">
        <x:v>5.005804589622421</x:v>
      </x:c>
      <x:c r="E148" s="59" t="n">
        <x:v>3.0364112402868053</x:v>
      </x:c>
      <x:c r="F148" s="59" t="n">
        <x:v>6.387115213797798</x:v>
      </x:c>
      <x:c r="G148" s="59" t="n">
        <x:v>5.880000000000001</x:v>
      </x:c>
      <x:c r="H148" s="58" t="str">
        <x:v>modeled_latent_ensemble</x:v>
      </x:c>
    </x:row>
    <x:row r="149" ht="15" hidden="0" customHeight="1">
      <x:c r="A149" s="60" t="n">
        <x:v>144</x:v>
      </x:c>
      <x:c r="B149" s="60" t="n">
        <x:v>8.986695863582838</x:v>
      </x:c>
      <x:c r="C149" s="60" t="n">
        <x:v>5.968362131436149</x:v>
      </x:c>
      <x:c r="D149" s="60" t="n">
        <x:v>5.164135217436233</x:v>
      </x:c>
      <x:c r="E149" s="60" t="n">
        <x:v>3.0063488524644337</x:v>
      </x:c>
      <x:c r="F149" s="60" t="n">
        <x:v>6.274457935080347</x:v>
      </x:c>
      <x:c r="G149" s="60" t="n">
        <x:v>5.88</x:v>
      </x:c>
      <x:c r="H149" s="57" t="str">
        <x:v>modeled_latent_ensemble</x:v>
      </x:c>
    </x:row>
    <x:row r="150" ht="15" hidden="0" customHeight="1">
      <x:c r="A150" s="59" t="n">
        <x:v>145</x:v>
      </x:c>
      <x:c r="B150" s="59" t="n">
        <x:v>8.933063979680524</x:v>
      </x:c>
      <x:c r="C150" s="59" t="n">
        <x:v>6.134632213870659</x:v>
      </x:c>
      <x:c r="D150" s="59" t="n">
        <x:v>4.962982327266818</x:v>
      </x:c>
      <x:c r="E150" s="59" t="n">
        <x:v>2.7405781454941467</x:v>
      </x:c>
      <x:c r="F150" s="59" t="n">
        <x:v>6.628743333687853</x:v>
      </x:c>
      <x:c r="G150" s="59" t="n">
        <x:v>5.880000000000001</x:v>
      </x:c>
      <x:c r="H150" s="58" t="str">
        <x:v>modeled_latent_ensemble</x:v>
      </x:c>
    </x:row>
    <x:row r="151" ht="15" hidden="0" customHeight="1">
      <x:c r="A151" s="60" t="n">
        <x:v>146</x:v>
      </x:c>
      <x:c r="B151" s="60" t="n">
        <x:v>9.020952277047666</x:v>
      </x:c>
      <x:c r="C151" s="60" t="n">
        <x:v>6.053332800820762</x:v>
      </x:c>
      <x:c r="D151" s="60" t="n">
        <x:v>5.165580539525902</x:v>
      </x:c>
      <x:c r="E151" s="60" t="n">
        <x:v>2.8015553439854766</x:v>
      </x:c>
      <x:c r="F151" s="60" t="n">
        <x:v>6.358579038620196</x:v>
      </x:c>
      <x:c r="G151" s="60" t="n">
        <x:v>5.880000000000001</x:v>
      </x:c>
      <x:c r="H151" s="57" t="str">
        <x:v>modeled_latent_ensemble</x:v>
      </x:c>
    </x:row>
    <x:row r="152" ht="15" hidden="0" customHeight="1">
      <x:c r="A152" s="59" t="n">
        <x:v>147</x:v>
      </x:c>
      <x:c r="B152" s="59" t="n">
        <x:v>8.943838418896613</x:v>
      </x:c>
      <x:c r="C152" s="59" t="n">
        <x:v>6.076212870386375</x:v>
      </x:c>
      <x:c r="D152" s="59" t="n">
        <x:v>5.117852392267639</x:v>
      </x:c>
      <x:c r="E152" s="59" t="n">
        <x:v>2.9403781330557286</x:v>
      </x:c>
      <x:c r="F152" s="59" t="n">
        <x:v>6.321718185393645</x:v>
      </x:c>
      <x:c r="G152" s="59" t="n">
        <x:v>5.880000000000001</x:v>
      </x:c>
      <x:c r="H152" s="58" t="str">
        <x:v>modeled_latent_ensemble</x:v>
      </x:c>
    </x:row>
    <x:row r="153" ht="15" hidden="0" customHeight="1">
      <x:c r="A153" s="60" t="n">
        <x:v>148</x:v>
      </x:c>
      <x:c r="B153" s="60" t="n">
        <x:v>8.893584553356472</x:v>
      </x:c>
      <x:c r="C153" s="60" t="n">
        <x:v>5.920905033186321</x:v>
      </x:c>
      <x:c r="D153" s="60" t="n">
        <x:v>4.98984035084883</x:v>
      </x:c>
      <x:c r="E153" s="60" t="n">
        <x:v>3.164345202996048</x:v>
      </x:c>
      <x:c r="F153" s="60" t="n">
        <x:v>6.43132485961233</x:v>
      </x:c>
      <x:c r="G153" s="60" t="n">
        <x:v>5.88</x:v>
      </x:c>
      <x:c r="H153" s="57" t="str">
        <x:v>modeled_latent_ensemble</x:v>
      </x:c>
    </x:row>
    <x:row r="154" ht="15" hidden="0" customHeight="1">
      <x:c r="A154" s="59" t="n">
        <x:v>149</x:v>
      </x:c>
      <x:c r="B154" s="59" t="n">
        <x:v>8.866590808322146</x:v>
      </x:c>
      <x:c r="C154" s="59" t="n">
        <x:v>6.074835298310785</x:v>
      </x:c>
      <x:c r="D154" s="59" t="n">
        <x:v>5.148645438478179</x:v>
      </x:c>
      <x:c r="E154" s="59" t="n">
        <x:v>3.0316587892578837</x:v>
      </x:c>
      <x:c r="F154" s="59" t="n">
        <x:v>6.278269665631006</x:v>
      </x:c>
      <x:c r="G154" s="59" t="n">
        <x:v>5.88</x:v>
      </x:c>
      <x:c r="H154" s="58" t="str">
        <x:v>modeled_latent_ensemble</x:v>
      </x:c>
    </x:row>
    <x:row r="155" ht="15" hidden="0" customHeight="1">
      <x:c r="A155" s="60" t="n">
        <x:v>150</x:v>
      </x:c>
      <x:c r="B155" s="60" t="n">
        <x:v>8.979305860989072</x:v>
      </x:c>
      <x:c r="C155" s="60" t="n">
        <x:v>6.077567048887419</x:v>
      </x:c>
      <x:c r="D155" s="60" t="n">
        <x:v>5.093673635895702</x:v>
      </x:c>
      <x:c r="E155" s="60" t="n">
        <x:v>2.6898381397284936</x:v>
      </x:c>
      <x:c r="F155" s="60" t="n">
        <x:v>6.559615314499315</x:v>
      </x:c>
      <x:c r="G155" s="60" t="n">
        <x:v>5.880000000000001</x:v>
      </x:c>
      <x:c r="H155" s="57" t="str">
        <x:v>modeled_latent_ensemble</x:v>
      </x:c>
    </x:row>
    <x:row r="156" ht="15" hidden="0" customHeight="1">
      <x:c r="A156" s="59" t="n">
        <x:v>151</x:v>
      </x:c>
      <x:c r="B156" s="59" t="n">
        <x:v>8.914670285647281</x:v>
      </x:c>
      <x:c r="C156" s="59" t="n">
        <x:v>6.03627471834993</x:v>
      </x:c>
      <x:c r="D156" s="59" t="n">
        <x:v>5.266334773005884</x:v>
      </x:c>
      <x:c r="E156" s="59" t="n">
        <x:v>2.7113703825571602</x:v>
      </x:c>
      <x:c r="F156" s="59" t="n">
        <x:v>6.4713498404397445</x:v>
      </x:c>
      <x:c r="G156" s="59" t="n">
        <x:v>5.88</x:v>
      </x:c>
      <x:c r="H156" s="58" t="str">
        <x:v>modeled_latent_ensemble</x:v>
      </x:c>
    </x:row>
    <x:row r="157" ht="15" hidden="0" customHeight="1">
      <x:c r="A157" s="60" t="n">
        <x:v>152</x:v>
      </x:c>
      <x:c r="B157" s="60" t="n">
        <x:v>8.808960045035581</x:v>
      </x:c>
      <x:c r="C157" s="60" t="n">
        <x:v>5.942044281679272</x:v>
      </x:c>
      <x:c r="D157" s="60" t="n">
        <x:v>5.16202291074269</x:v>
      </x:c>
      <x:c r="E157" s="60" t="n">
        <x:v>3.029803297459677</x:v>
      </x:c>
      <x:c r="F157" s="60" t="n">
        <x:v>6.457169465082781</x:v>
      </x:c>
      <x:c r="G157" s="60" t="n">
        <x:v>5.88</x:v>
      </x:c>
      <x:c r="H157" s="57" t="str">
        <x:v>modeled_latent_ensemble</x:v>
      </x:c>
    </x:row>
    <x:row r="158" ht="15" hidden="0" customHeight="1">
      <x:c r="A158" s="59" t="n">
        <x:v>153</x:v>
      </x:c>
      <x:c r="B158" s="59" t="n">
        <x:v>8.974547408131818</x:v>
      </x:c>
      <x:c r="C158" s="59" t="n">
        <x:v>5.894898271419741</x:v>
      </x:c>
      <x:c r="D158" s="59" t="n">
        <x:v>5.002602175661117</x:v>
      </x:c>
      <x:c r="E158" s="59" t="n">
        <x:v>3.2254568918950657</x:v>
      </x:c>
      <x:c r="F158" s="59" t="n">
        <x:v>6.3024952528922595</x:v>
      </x:c>
      <x:c r="G158" s="59" t="n">
        <x:v>5.880000000000001</x:v>
      </x:c>
      <x:c r="H158" s="58" t="str">
        <x:v>modeled_latent_ensemble</x:v>
      </x:c>
    </x:row>
    <x:row r="159" ht="15" hidden="0" customHeight="1">
      <x:c r="A159" s="60" t="n">
        <x:v>154</x:v>
      </x:c>
      <x:c r="B159" s="60" t="n">
        <x:v>8.771617680302107</x:v>
      </x:c>
      <x:c r="C159" s="60" t="n">
        <x:v>5.92667350843698</x:v>
      </x:c>
      <x:c r="D159" s="60" t="n">
        <x:v>5.15204457797566</x:v>
      </x:c>
      <x:c r="E159" s="60" t="n">
        <x:v>3.2086064038378974</x:v>
      </x:c>
      <x:c r="F159" s="60" t="n">
        <x:v>6.341057829447356</x:v>
      </x:c>
      <x:c r="G159" s="60" t="n">
        <x:v>5.880000000000001</x:v>
      </x:c>
      <x:c r="H159" s="57" t="str">
        <x:v>modeled_latent_ensemble</x:v>
      </x:c>
    </x:row>
    <x:row r="160" ht="15" hidden="0" customHeight="1">
      <x:c r="A160" s="59" t="n">
        <x:v>155</x:v>
      </x:c>
      <x:c r="B160" s="59" t="n">
        <x:v>8.80215230580152</x:v>
      </x:c>
      <x:c r="C160" s="59" t="n">
        <x:v>6.00491053220041</x:v>
      </x:c>
      <x:c r="D160" s="59" t="n">
        <x:v>5.082031531597912</x:v>
      </x:c>
      <x:c r="E160" s="59" t="n">
        <x:v>3.2247970414794427</x:v>
      </x:c>
      <x:c r="F160" s="59" t="n">
        <x:v>6.286108588920717</x:v>
      </x:c>
      <x:c r="G160" s="59" t="n">
        <x:v>5.880000000000001</x:v>
      </x:c>
      <x:c r="H160" s="58" t="str">
        <x:v>modeled_latent_ensemble</x:v>
      </x:c>
    </x:row>
    <x:row r="161" ht="15" hidden="0" customHeight="1">
      <x:c r="A161" s="60" t="n">
        <x:v>156</x:v>
      </x:c>
      <x:c r="B161" s="60" t="n">
        <x:v>9.024141232050361</x:v>
      </x:c>
      <x:c r="C161" s="60" t="n">
        <x:v>5.91621260717371</x:v>
      </x:c>
      <x:c r="D161" s="60" t="n">
        <x:v>5.065878988124656</x:v>
      </x:c>
      <x:c r="E161" s="60" t="n">
        <x:v>2.8819921389636503</x:v>
      </x:c>
      <x:c r="F161" s="60" t="n">
        <x:v>6.511775033687623</x:v>
      </x:c>
      <x:c r="G161" s="60" t="n">
        <x:v>5.880000000000001</x:v>
      </x:c>
      <x:c r="H161" s="57" t="str">
        <x:v>modeled_latent_ensemble</x:v>
      </x:c>
    </x:row>
    <x:row r="162" ht="15" hidden="0" customHeight="1">
      <x:c r="A162" s="59" t="n">
        <x:v>157</x:v>
      </x:c>
      <x:c r="B162" s="59" t="n">
        <x:v>8.850253131298471</x:v>
      </x:c>
      <x:c r="C162" s="59" t="n">
        <x:v>6.012910945348727</x:v>
      </x:c>
      <x:c r="D162" s="59" t="n">
        <x:v>5.074096444407913</x:v>
      </x:c>
      <x:c r="E162" s="59" t="n">
        <x:v>3.13146692727792</x:v>
      </x:c>
      <x:c r="F162" s="59" t="n">
        <x:v>6.33127255166697</x:v>
      </x:c>
      <x:c r="G162" s="59" t="n">
        <x:v>5.880000000000001</x:v>
      </x:c>
      <x:c r="H162" s="58" t="str">
        <x:v>modeled_latent_ensemble</x:v>
      </x:c>
    </x:row>
    <x:row r="163" ht="15" hidden="0" customHeight="1">
      <x:c r="A163" s="60" t="n">
        <x:v>158</x:v>
      </x:c>
      <x:c r="B163" s="60" t="n">
        <x:v>8.919043009888348</x:v>
      </x:c>
      <x:c r="C163" s="60" t="n">
        <x:v>5.95679875267209</x:v>
      </x:c>
      <x:c r="D163" s="60" t="n">
        <x:v>4.922519741717609</x:v>
      </x:c>
      <x:c r="E163" s="60" t="n">
        <x:v>3.3302591626436375</x:v>
      </x:c>
      <x:c r="F163" s="60" t="n">
        <x:v>6.2713793330783165</x:v>
      </x:c>
      <x:c r="G163" s="60" t="n">
        <x:v>5.880000000000001</x:v>
      </x:c>
      <x:c r="H163" s="57" t="str">
        <x:v>modeled_latent_ensemble</x:v>
      </x:c>
    </x:row>
    <x:row r="164" ht="15" hidden="0" customHeight="1">
      <x:c r="A164" s="59" t="n">
        <x:v>159</x:v>
      </x:c>
      <x:c r="B164" s="59" t="n">
        <x:v>8.840606596744523</x:v>
      </x:c>
      <x:c r="C164" s="59" t="n">
        <x:v>6.013188007893204</x:v>
      </x:c>
      <x:c r="D164" s="59" t="n">
        <x:v>4.952791454056231</x:v>
      </x:c>
      <x:c r="E164" s="59" t="n">
        <x:v>3.1237866602635247</x:v>
      </x:c>
      <x:c r="F164" s="59" t="n">
        <x:v>6.469627281042518</x:v>
      </x:c>
      <x:c r="G164" s="59" t="n">
        <x:v>5.880000000000001</x:v>
      </x:c>
      <x:c r="H164" s="58" t="str">
        <x:v>modeled_latent_ensemble</x:v>
      </x:c>
    </x:row>
    <x:row r="165" ht="15" hidden="0" customHeight="1">
      <x:c r="A165" s="60" t="n">
        <x:v>160</x:v>
      </x:c>
      <x:c r="B165" s="60" t="n">
        <x:v>8.968086211288165</x:v>
      </x:c>
      <x:c r="C165" s="60" t="n">
        <x:v>6.140231654589794</x:v>
      </x:c>
      <x:c r="D165" s="60" t="n">
        <x:v>5.00242935271745</x:v>
      </x:c>
      <x:c r="E165" s="60" t="n">
        <x:v>2.9618487261491215</x:v>
      </x:c>
      <x:c r="F165" s="60" t="n">
        <x:v>6.327404055255471</x:v>
      </x:c>
      <x:c r="G165" s="60" t="n">
        <x:v>5.880000000000001</x:v>
      </x:c>
      <x:c r="H165" s="57" t="str">
        <x:v>modeled_latent_ensemble</x:v>
      </x:c>
    </x:row>
    <x:row r="166" ht="15" hidden="0" customHeight="1">
      <x:c r="A166" s="59" t="n">
        <x:v>161</x:v>
      </x:c>
      <x:c r="B166" s="59" t="n">
        <x:v>8.937131200313152</x:v>
      </x:c>
      <x:c r="C166" s="59" t="n">
        <x:v>5.9653262913630565</x:v>
      </x:c>
      <x:c r="D166" s="59" t="n">
        <x:v>5.336694437800354</x:v>
      </x:c>
      <x:c r="E166" s="59" t="n">
        <x:v>2.8177091939270507</x:v>
      </x:c>
      <x:c r="F166" s="59" t="n">
        <x:v>6.343138876596388</x:v>
      </x:c>
      <x:c r="G166" s="59" t="n">
        <x:v>5.880000000000001</x:v>
      </x:c>
      <x:c r="H166" s="58" t="str">
        <x:v>modeled_latent_ensemble</x:v>
      </x:c>
    </x:row>
    <x:row r="167" ht="15" hidden="0" customHeight="1">
      <x:c r="A167" s="60" t="n">
        <x:v>162</x:v>
      </x:c>
      <x:c r="B167" s="60" t="n">
        <x:v>8.86704891730895</x:v>
      </x:c>
      <x:c r="C167" s="60" t="n">
        <x:v>6.128070283852572</x:v>
      </x:c>
      <x:c r="D167" s="60" t="n">
        <x:v>5.210655661644541</x:v>
      </x:c>
      <x:c r="E167" s="60" t="n">
        <x:v>2.79277852100177</x:v>
      </x:c>
      <x:c r="F167" s="60" t="n">
        <x:v>6.4014466161921675</x:v>
      </x:c>
      <x:c r="G167" s="60" t="n">
        <x:v>5.88</x:v>
      </x:c>
      <x:c r="H167" s="57" t="str">
        <x:v>modeled_latent_ensemble</x:v>
      </x:c>
    </x:row>
    <x:row r="168" ht="15" hidden="0" customHeight="1">
      <x:c r="A168" s="59" t="n">
        <x:v>163</x:v>
      </x:c>
      <x:c r="B168" s="59" t="n">
        <x:v>8.949172870626217</x:v>
      </x:c>
      <x:c r="C168" s="59" t="n">
        <x:v>6.042939585085797</x:v>
      </x:c>
      <x:c r="D168" s="59" t="n">
        <x:v>5.232351911677033</x:v>
      </x:c>
      <x:c r="E168" s="59" t="n">
        <x:v>2.698489311548818</x:v>
      </x:c>
      <x:c r="F168" s="59" t="n">
        <x:v>6.4770463210621365</x:v>
      </x:c>
      <x:c r="G168" s="59" t="n">
        <x:v>5.880000000000001</x:v>
      </x:c>
      <x:c r="H168" s="58" t="str">
        <x:v>modeled_latent_ensemble</x:v>
      </x:c>
    </x:row>
    <x:row r="169" ht="15" hidden="0" customHeight="1">
      <x:c r="A169" s="60" t="n">
        <x:v>164</x:v>
      </x:c>
      <x:c r="B169" s="60" t="n">
        <x:v>8.747095209670292</x:v>
      </x:c>
      <x:c r="C169" s="60" t="n">
        <x:v>5.934232458216863</x:v>
      </x:c>
      <x:c r="D169" s="60" t="n">
        <x:v>4.930871036914807</x:v>
      </x:c>
      <x:c r="E169" s="60" t="n">
        <x:v>3.3641969301659396</x:v>
      </x:c>
      <x:c r="F169" s="60" t="n">
        <x:v>6.4236043650321</x:v>
      </x:c>
      <x:c r="G169" s="60" t="n">
        <x:v>5.88</x:v>
      </x:c>
      <x:c r="H169" s="57" t="str">
        <x:v>modeled_latent_ensemble</x:v>
      </x:c>
    </x:row>
    <x:row r="170" ht="15" hidden="0" customHeight="1">
      <x:c r="A170" s="59" t="n">
        <x:v>165</x:v>
      </x:c>
      <x:c r="B170" s="59" t="n">
        <x:v>8.887137139938293</x:v>
      </x:c>
      <x:c r="C170" s="59" t="n">
        <x:v>6.017558945449004</x:v>
      </x:c>
      <x:c r="D170" s="59" t="n">
        <x:v>5.114936765093636</x:v>
      </x:c>
      <x:c r="E170" s="59" t="n">
        <x:v>2.8497825941157755</x:v>
      </x:c>
      <x:c r="F170" s="59" t="n">
        <x:v>6.530584555403294</x:v>
      </x:c>
      <x:c r="G170" s="59" t="n">
        <x:v>5.880000000000001</x:v>
      </x:c>
      <x:c r="H170" s="58" t="str">
        <x:v>modeled_latent_ensemble</x:v>
      </x:c>
    </x:row>
    <x:row r="171" ht="15" hidden="0" customHeight="1">
      <x:c r="A171" s="60" t="n">
        <x:v>166</x:v>
      </x:c>
      <x:c r="B171" s="60" t="n">
        <x:v>8.915229316117706</x:v>
      </x:c>
      <x:c r="C171" s="60" t="n">
        <x:v>6.158814532605513</x:v>
      </x:c>
      <x:c r="D171" s="60" t="n">
        <x:v>5.052547620386793</x:v>
      </x:c>
      <x:c r="E171" s="60" t="n">
        <x:v>3.004402150713885</x:v>
      </x:c>
      <x:c r="F171" s="60" t="n">
        <x:v>6.269006380176103</x:v>
      </x:c>
      <x:c r="G171" s="60" t="n">
        <x:v>5.88</x:v>
      </x:c>
      <x:c r="H171" s="57" t="str">
        <x:v>modeled_latent_ensemble</x:v>
      </x:c>
    </x:row>
    <x:row r="172" ht="15" hidden="0" customHeight="1">
      <x:c r="A172" s="59" t="n">
        <x:v>167</x:v>
      </x:c>
      <x:c r="B172" s="59" t="n">
        <x:v>8.727197812157257</x:v>
      </x:c>
      <x:c r="C172" s="59" t="n">
        <x:v>5.860711624034946</x:v>
      </x:c>
      <x:c r="D172" s="59" t="n">
        <x:v>5.147003095370563</x:v>
      </x:c>
      <x:c r="E172" s="59" t="n">
        <x:v>3.2596800816385527</x:v>
      </x:c>
      <x:c r="F172" s="59" t="n">
        <x:v>6.405407386798682</x:v>
      </x:c>
      <x:c r="G172" s="59" t="n">
        <x:v>5.88</x:v>
      </x:c>
      <x:c r="H172" s="58" t="str">
        <x:v>modeled_latent_ensemble</x:v>
      </x:c>
    </x:row>
    <x:row r="173" ht="15" hidden="0" customHeight="1">
      <x:c r="A173" s="60" t="n">
        <x:v>168</x:v>
      </x:c>
      <x:c r="B173" s="60" t="n">
        <x:v>8.788244738281778</x:v>
      </x:c>
      <x:c r="C173" s="60" t="n">
        <x:v>5.873827805071851</x:v>
      </x:c>
      <x:c r="D173" s="60" t="n">
        <x:v>4.923750214514735</x:v>
      </x:c>
      <x:c r="E173" s="60" t="n">
        <x:v>3.2633301529471597</x:v>
      </x:c>
      <x:c r="F173" s="60" t="n">
        <x:v>6.550847089184478</x:v>
      </x:c>
      <x:c r="G173" s="60" t="n">
        <x:v>5.88</x:v>
      </x:c>
      <x:c r="H173" s="57" t="str">
        <x:v>modeled_latent_ensemble</x:v>
      </x:c>
    </x:row>
    <x:row r="174" ht="15" hidden="0" customHeight="1">
      <x:c r="A174" s="59" t="n">
        <x:v>169</x:v>
      </x:c>
      <x:c r="B174" s="59" t="n">
        <x:v>8.860329239715298</x:v>
      </x:c>
      <x:c r="C174" s="59" t="n">
        <x:v>5.996817896430308</x:v>
      </x:c>
      <x:c r="D174" s="59" t="n">
        <x:v>4.856037155091674</x:v>
      </x:c>
      <x:c r="E174" s="59" t="n">
        <x:v>3.2368512987195674</x:v>
      </x:c>
      <x:c r="F174" s="59" t="n">
        <x:v>6.449964410043154</x:v>
      </x:c>
      <x:c r="G174" s="59" t="n">
        <x:v>5.880000000000001</x:v>
      </x:c>
      <x:c r="H174" s="58" t="str">
        <x:v>modeled_latent_ensemble</x:v>
      </x:c>
    </x:row>
    <x:row r="175" ht="15" hidden="0" customHeight="1">
      <x:c r="A175" s="60" t="n">
        <x:v>170</x:v>
      </x:c>
      <x:c r="B175" s="60" t="n">
        <x:v>8.798918307558495</x:v>
      </x:c>
      <x:c r="C175" s="60" t="n">
        <x:v>5.907008808950731</x:v>
      </x:c>
      <x:c r="D175" s="60" t="n">
        <x:v>4.8462582491215205</x:v>
      </x:c>
      <x:c r="E175" s="60" t="n">
        <x:v>3.2827249330106207</x:v>
      </x:c>
      <x:c r="F175" s="60" t="n">
        <x:v>6.565089701358634</x:v>
      </x:c>
      <x:c r="G175" s="60" t="n">
        <x:v>5.880000000000001</x:v>
      </x:c>
      <x:c r="H175" s="57" t="str">
        <x:v>modeled_latent_ensemble</x:v>
      </x:c>
    </x:row>
    <x:row r="176" ht="15" hidden="0" customHeight="1">
      <x:c r="A176" s="59" t="n">
        <x:v>171</x:v>
      </x:c>
      <x:c r="B176" s="59" t="n">
        <x:v>8.934736370771212</x:v>
      </x:c>
      <x:c r="C176" s="59" t="n">
        <x:v>6.014535579888764</x:v>
      </x:c>
      <x:c r="D176" s="59" t="n">
        <x:v>5.1050707213562125</x:v>
      </x:c>
      <x:c r="E176" s="59" t="n">
        <x:v>3.0352039763028396</x:v>
      </x:c>
      <x:c r="F176" s="59" t="n">
        <x:v>6.310453351680973</x:v>
      </x:c>
      <x:c r="G176" s="59" t="n">
        <x:v>5.880000000000001</x:v>
      </x:c>
      <x:c r="H176" s="58" t="str">
        <x:v>modeled_latent_ensemble</x:v>
      </x:c>
    </x:row>
    <x:row r="177" ht="15" hidden="0" customHeight="1">
      <x:c r="A177" s="60" t="n">
        <x:v>172</x:v>
      </x:c>
      <x:c r="B177" s="60" t="n">
        <x:v>8.886933056891044</x:v>
      </x:c>
      <x:c r="C177" s="60" t="n">
        <x:v>5.914042560959639</x:v>
      </x:c>
      <x:c r="D177" s="60" t="n">
        <x:v>4.972137056460734</x:v>
      </x:c>
      <x:c r="E177" s="60" t="n">
        <x:v>3.284287667223394</x:v>
      </x:c>
      <x:c r="F177" s="60" t="n">
        <x:v>6.342599658465191</x:v>
      </x:c>
      <x:c r="G177" s="60" t="n">
        <x:v>5.88</x:v>
      </x:c>
      <x:c r="H177" s="57" t="str">
        <x:v>modeled_latent_ensemble</x:v>
      </x:c>
    </x:row>
    <x:row r="178" ht="15" hidden="0" customHeight="1">
      <x:c r="A178" s="59" t="n">
        <x:v>173</x:v>
      </x:c>
      <x:c r="B178" s="59" t="n">
        <x:v>8.879052705658369</x:v>
      </x:c>
      <x:c r="C178" s="59" t="n">
        <x:v>6.055997943955277</x:v>
      </x:c>
      <x:c r="D178" s="59" t="n">
        <x:v>5.039554614825649</x:v>
      </x:c>
      <x:c r="E178" s="59" t="n">
        <x:v>2.9545119924759677</x:v>
      </x:c>
      <x:c r="F178" s="59" t="n">
        <x:v>6.470882743084739</x:v>
      </x:c>
      <x:c r="G178" s="59" t="n">
        <x:v>5.880000000000001</x:v>
      </x:c>
      <x:c r="H178" s="58" t="str">
        <x:v>modeled_latent_ensemble</x:v>
      </x:c>
    </x:row>
    <x:row r="179" ht="15" hidden="0" customHeight="1">
      <x:c r="A179" s="60" t="n">
        <x:v>174</x:v>
      </x:c>
      <x:c r="B179" s="60" t="n">
        <x:v>8.843768071037504</x:v>
      </x:c>
      <x:c r="C179" s="60" t="n">
        <x:v>6.121650525455052</x:v>
      </x:c>
      <x:c r="D179" s="60" t="n">
        <x:v>5.0639546365604176</x:v>
      </x:c>
      <x:c r="E179" s="60" t="n">
        <x:v>2.959473781006284</x:v>
      </x:c>
      <x:c r="F179" s="60" t="n">
        <x:v>6.411152985940743</x:v>
      </x:c>
      <x:c r="G179" s="60" t="n">
        <x:v>5.88</x:v>
      </x:c>
      <x:c r="H179" s="57" t="str">
        <x:v>modeled_latent_ensemble</x:v>
      </x:c>
    </x:row>
    <x:row r="180" ht="15" hidden="0" customHeight="1">
      <x:c r="A180" s="59" t="n">
        <x:v>175</x:v>
      </x:c>
      <x:c r="B180" s="59" t="n">
        <x:v>8.785883461347732</x:v>
      </x:c>
      <x:c r="C180" s="59" t="n">
        <x:v>6.117499710239411</x:v>
      </x:c>
      <x:c r="D180" s="59" t="n">
        <x:v>5.136642006325437</x:v>
      </x:c>
      <x:c r="E180" s="59" t="n">
        <x:v>2.8200949083325413</x:v>
      </x:c>
      <x:c r="F180" s="59" t="n">
        <x:v>6.53987991375488</x:v>
      </x:c>
      <x:c r="G180" s="59" t="n">
        <x:v>5.880000000000001</x:v>
      </x:c>
      <x:c r="H180" s="58" t="str">
        <x:v>modeled_latent_ensemble</x:v>
      </x:c>
    </x:row>
    <x:row r="181" ht="15" hidden="0" customHeight="1">
      <x:c r="A181" s="60" t="n">
        <x:v>176</x:v>
      </x:c>
      <x:c r="B181" s="60" t="n">
        <x:v>8.7510637312455</x:v>
      </x:c>
      <x:c r="C181" s="60" t="n">
        <x:v>6.029940324544776</x:v>
      </x:c>
      <x:c r="D181" s="60" t="n">
        <x:v>4.950925894953848</x:v>
      </x:c>
      <x:c r="E181" s="60" t="n">
        <x:v>3.2665358631372947</x:v>
      </x:c>
      <x:c r="F181" s="60" t="n">
        <x:v>6.4015341861185835</x:v>
      </x:c>
      <x:c r="G181" s="60" t="n">
        <x:v>5.880000000000001</x:v>
      </x:c>
      <x:c r="H181" s="57" t="str">
        <x:v>modeled_latent_ensemble</x:v>
      </x:c>
    </x:row>
    <x:row r="182" ht="15" hidden="0" customHeight="1">
      <x:c r="A182" s="59" t="n">
        <x:v>177</x:v>
      </x:c>
      <x:c r="B182" s="59" t="n">
        <x:v>8.879973407235502</x:v>
      </x:c>
      <x:c r="C182" s="59" t="n">
        <x:v>5.912666504637818</x:v>
      </x:c>
      <x:c r="D182" s="59" t="n">
        <x:v>5.012592543953507</x:v>
      </x:c>
      <x:c r="E182" s="59" t="n">
        <x:v>3.2223250822058676</x:v>
      </x:c>
      <x:c r="F182" s="59" t="n">
        <x:v>6.372442461967307</x:v>
      </x:c>
      <x:c r="G182" s="59" t="n">
        <x:v>5.88</x:v>
      </x:c>
      <x:c r="H182" s="58" t="str">
        <x:v>modeled_latent_ensemble</x:v>
      </x:c>
    </x:row>
    <x:row r="183" ht="15" hidden="0" customHeight="1">
      <x:c r="A183" s="60" t="n">
        <x:v>178</x:v>
      </x:c>
      <x:c r="B183" s="60" t="n">
        <x:v>8.944739622431229</x:v>
      </x:c>
      <x:c r="C183" s="60" t="n">
        <x:v>5.956126242751796</x:v>
      </x:c>
      <x:c r="D183" s="60" t="n">
        <x:v>4.9829503238208686</x:v>
      </x:c>
      <x:c r="E183" s="60" t="n">
        <x:v>3.0691455959334446</x:v>
      </x:c>
      <x:c r="F183" s="60" t="n">
        <x:v>6.447038215062663</x:v>
      </x:c>
      <x:c r="G183" s="60" t="n">
        <x:v>5.880000000000001</x:v>
      </x:c>
      <x:c r="H183" s="57" t="str">
        <x:v>modeled_latent_ensemble</x:v>
      </x:c>
    </x:row>
    <x:row r="184" ht="15" hidden="0" customHeight="1">
      <x:c r="A184" s="59" t="n">
        <x:v>179</x:v>
      </x:c>
      <x:c r="B184" s="59" t="n">
        <x:v>8.979776075707424</x:v>
      </x:c>
      <x:c r="C184" s="59" t="n">
        <x:v>5.956037408833736</x:v>
      </x:c>
      <x:c r="D184" s="59" t="n">
        <x:v>5.200279154177122</x:v>
      </x:c>
      <x:c r="E184" s="59" t="n">
        <x:v>2.815626377905734</x:v>
      </x:c>
      <x:c r="F184" s="59" t="n">
        <x:v>6.4482809833759855</x:v>
      </x:c>
      <x:c r="G184" s="59" t="n">
        <x:v>5.88</x:v>
      </x:c>
      <x:c r="H184" s="58" t="str">
        <x:v>modeled_latent_ensemble</x:v>
      </x:c>
    </x:row>
    <x:row r="185" ht="15" hidden="0" customHeight="1">
      <x:c r="A185" s="60" t="n">
        <x:v>180</x:v>
      </x:c>
      <x:c r="B185" s="60" t="n">
        <x:v>9.01562973424166</x:v>
      </x:c>
      <x:c r="C185" s="60" t="n">
        <x:v>6.0854393800530495</x:v>
      </x:c>
      <x:c r="D185" s="60" t="n">
        <x:v>5.033117006643701</x:v>
      </x:c>
      <x:c r="E185" s="60" t="n">
        <x:v>2.979938366197284</x:v>
      </x:c>
      <x:c r="F185" s="60" t="n">
        <x:v>6.2858755128643065</x:v>
      </x:c>
      <x:c r="G185" s="60" t="n">
        <x:v>5.88</x:v>
      </x:c>
      <x:c r="H185" s="57" t="str">
        <x:v>modeled_latent_ensemble</x:v>
      </x:c>
    </x:row>
    <x:row r="186" ht="15" hidden="0" customHeight="1">
      <x:c r="A186" s="59" t="n">
        <x:v>181</x:v>
      </x:c>
      <x:c r="B186" s="59" t="n">
        <x:v>8.809623879419462</x:v>
      </x:c>
      <x:c r="C186" s="59" t="n">
        <x:v>5.8963534491016345</x:v>
      </x:c>
      <x:c r="D186" s="59" t="n">
        <x:v>5.028948034166179</x:v>
      </x:c>
      <x:c r="E186" s="59" t="n">
        <x:v>3.343455234964545</x:v>
      </x:c>
      <x:c r="F186" s="59" t="n">
        <x:v>6.321619402348181</x:v>
      </x:c>
      <x:c r="G186" s="59" t="n">
        <x:v>5.880000000000001</x:v>
      </x:c>
      <x:c r="H186" s="58" t="str">
        <x:v>modeled_latent_ensemble</x:v>
      </x:c>
    </x:row>
    <x:row r="187" ht="15" hidden="0" customHeight="1">
      <x:c r="A187" s="60" t="n">
        <x:v>182</x:v>
      </x:c>
      <x:c r="B187" s="60" t="n">
        <x:v>8.800354401006567</x:v>
      </x:c>
      <x:c r="C187" s="60" t="n">
        <x:v>6.050054065570994</x:v>
      </x:c>
      <x:c r="D187" s="60" t="n">
        <x:v>5.149631175888629</x:v>
      </x:c>
      <x:c r="E187" s="60" t="n">
        <x:v>2.88713208982392</x:v>
      </x:c>
      <x:c r="F187" s="60" t="n">
        <x:v>6.5128282677098905</x:v>
      </x:c>
      <x:c r="G187" s="60" t="n">
        <x:v>5.880000000000001</x:v>
      </x:c>
      <x:c r="H187" s="57" t="str">
        <x:v>modeled_latent_ensemble</x:v>
      </x:c>
    </x:row>
    <x:row r="188" ht="15" hidden="0" customHeight="1">
      <x:c r="A188" s="59" t="n">
        <x:v>183</x:v>
      </x:c>
      <x:c r="B188" s="59" t="n">
        <x:v>8.797434490141251</x:v>
      </x:c>
      <x:c r="C188" s="59" t="n">
        <x:v>5.974674567625211</x:v>
      </x:c>
      <x:c r="D188" s="59" t="n">
        <x:v>5.093836971243268</x:v>
      </x:c>
      <x:c r="E188" s="59" t="n">
        <x:v>3.1714780016677064</x:v>
      </x:c>
      <x:c r="F188" s="59" t="n">
        <x:v>6.362575969322564</x:v>
      </x:c>
      <x:c r="G188" s="59" t="n">
        <x:v>5.88</x:v>
      </x:c>
      <x:c r="H188" s="58" t="str">
        <x:v>modeled_latent_ensemble</x:v>
      </x:c>
    </x:row>
    <x:row r="189" ht="15" hidden="0" customHeight="1">
      <x:c r="A189" s="60" t="n">
        <x:v>184</x:v>
      </x:c>
      <x:c r="B189" s="60" t="n">
        <x:v>9.000753968713203</x:v>
      </x:c>
      <x:c r="C189" s="60" t="n">
        <x:v>6.094891552172033</x:v>
      </x:c>
      <x:c r="D189" s="60" t="n">
        <x:v>5.125050047571821</x:v>
      </x:c>
      <x:c r="E189" s="60" t="n">
        <x:v>2.695615643680231</x:v>
      </x:c>
      <x:c r="F189" s="60" t="n">
        <x:v>6.483688787862713</x:v>
      </x:c>
      <x:c r="G189" s="60" t="n">
        <x:v>5.88</x:v>
      </x:c>
      <x:c r="H189" s="57" t="str">
        <x:v>modeled_latent_ensemble</x:v>
      </x:c>
    </x:row>
    <x:row r="190" ht="15" hidden="0" customHeight="1">
      <x:c r="A190" s="59" t="n">
        <x:v>185</x:v>
      </x:c>
      <x:c r="B190" s="59" t="n">
        <x:v>8.866233359033156</x:v>
      </x:c>
      <x:c r="C190" s="59" t="n">
        <x:v>6.137871640934284</x:v>
      </x:c>
      <x:c r="D190" s="59" t="n">
        <x:v>4.9828036047625135</x:v>
      </x:c>
      <x:c r="E190" s="59" t="n">
        <x:v>3.0099928844334882</x:v>
      </x:c>
      <x:c r="F190" s="59" t="n">
        <x:v>6.403098510836559</x:v>
      </x:c>
      <x:c r="G190" s="59" t="n">
        <x:v>5.88</x:v>
      </x:c>
      <x:c r="H190" s="58" t="str">
        <x:v>modeled_latent_ensemble</x:v>
      </x:c>
    </x:row>
    <x:row r="191" ht="15" hidden="0" customHeight="1">
      <x:c r="A191" s="60" t="n">
        <x:v>186</x:v>
      </x:c>
      <x:c r="B191" s="60" t="n">
        <x:v>8.973755494892114</x:v>
      </x:c>
      <x:c r="C191" s="60" t="n">
        <x:v>6.1998134450025315</x:v>
      </x:c>
      <x:c r="D191" s="60" t="n">
        <x:v>5.261588507793962</x:v>
      </x:c>
      <x:c r="E191" s="60" t="n">
        <x:v>2.4358964942398957</x:v>
      </x:c>
      <x:c r="F191" s="60" t="n">
        <x:v>6.528946058071498</x:v>
      </x:c>
      <x:c r="G191" s="60" t="n">
        <x:v>5.88</x:v>
      </x:c>
      <x:c r="H191" s="57" t="str">
        <x:v>modeled_latent_ensemble</x:v>
      </x:c>
    </x:row>
    <x:row r="192" ht="15" hidden="0" customHeight="1">
      <x:c r="A192" s="59" t="n">
        <x:v>187</x:v>
      </x:c>
      <x:c r="B192" s="59" t="n">
        <x:v>8.761350895299952</x:v>
      </x:c>
      <x:c r="C192" s="59" t="n">
        <x:v>5.983368870160091</x:v>
      </x:c>
      <x:c r="D192" s="59" t="n">
        <x:v>4.88226861024029</x:v>
      </x:c>
      <x:c r="E192" s="59" t="n">
        <x:v>3.3870057882158604</x:v>
      </x:c>
      <x:c r="F192" s="59" t="n">
        <x:v>6.386005836083808</x:v>
      </x:c>
      <x:c r="G192" s="59" t="n">
        <x:v>5.880000000000001</x:v>
      </x:c>
      <x:c r="H192" s="58" t="str">
        <x:v>modeled_latent_ensemble</x:v>
      </x:c>
    </x:row>
    <x:row r="193" ht="15" hidden="0" customHeight="1">
      <x:c r="A193" s="60" t="n">
        <x:v>188</x:v>
      </x:c>
      <x:c r="B193" s="60" t="n">
        <x:v>8.834076950708091</x:v>
      </x:c>
      <x:c r="C193" s="60" t="n">
        <x:v>6.019679489487841</x:v>
      </x:c>
      <x:c r="D193" s="60" t="n">
        <x:v>4.9465599270923315</x:v>
      </x:c>
      <x:c r="E193" s="60" t="n">
        <x:v>3.2950835945691623</x:v>
      </x:c>
      <x:c r="F193" s="60" t="n">
        <x:v>6.304600038142575</x:v>
      </x:c>
      <x:c r="G193" s="60" t="n">
        <x:v>5.880000000000001</x:v>
      </x:c>
      <x:c r="H193" s="57" t="str">
        <x:v>modeled_latent_ensemble</x:v>
      </x:c>
    </x:row>
    <x:row r="194" ht="15" hidden="0" customHeight="1">
      <x:c r="A194" s="59" t="n">
        <x:v>189</x:v>
      </x:c>
      <x:c r="B194" s="59" t="n">
        <x:v>8.933597975372367</x:v>
      </x:c>
      <x:c r="C194" s="59" t="n">
        <x:v>6.087216738017444</x:v>
      </x:c>
      <x:c r="D194" s="59" t="n">
        <x:v>5.206294845477513</x:v>
      </x:c>
      <x:c r="E194" s="59" t="n">
        <x:v>2.687681930280618</x:v>
      </x:c>
      <x:c r="F194" s="59" t="n">
        <x:v>6.48520851085206</x:v>
      </x:c>
      <x:c r="G194" s="59" t="n">
        <x:v>5.880000000000001</x:v>
      </x:c>
      <x:c r="H194" s="58" t="str">
        <x:v>modeled_latent_ensemble</x:v>
      </x:c>
    </x:row>
    <x:row r="195" ht="15" hidden="0" customHeight="1">
      <x:c r="A195" s="60" t="n">
        <x:v>190</x:v>
      </x:c>
      <x:c r="B195" s="60" t="n">
        <x:v>8.789783175119464</x:v>
      </x:c>
      <x:c r="C195" s="60" t="n">
        <x:v>5.978718436564379</x:v>
      </x:c>
      <x:c r="D195" s="60" t="n">
        <x:v>5.051968209801374</x:v>
      </x:c>
      <x:c r="E195" s="60" t="n">
        <x:v>3.0676878662969083</x:v>
      </x:c>
      <x:c r="F195" s="60" t="n">
        <x:v>6.511842312217875</x:v>
      </x:c>
      <x:c r="G195" s="60" t="n">
        <x:v>5.88</x:v>
      </x:c>
      <x:c r="H195" s="57" t="str">
        <x:v>modeled_latent_ensemble</x:v>
      </x:c>
    </x:row>
    <x:row r="196" ht="15" hidden="0" customHeight="1">
      <x:c r="A196" s="59" t="n">
        <x:v>191</x:v>
      </x:c>
      <x:c r="B196" s="59" t="n">
        <x:v>9.013852063268027</x:v>
      </x:c>
      <x:c r="C196" s="59" t="n">
        <x:v>5.939168006159567</x:v>
      </x:c>
      <x:c r="D196" s="59" t="n">
        <x:v>4.816827852936746</x:v>
      </x:c>
      <x:c r="E196" s="59" t="n">
        <x:v>3.4294867897006673</x:v>
      </x:c>
      <x:c r="F196" s="59" t="n">
        <x:v>6.200665287934994</x:v>
      </x:c>
      <x:c r="G196" s="59" t="n">
        <x:v>5.880000000000001</x:v>
      </x:c>
      <x:c r="H196" s="58" t="str">
        <x:v>modeled_latent_ensemble</x:v>
      </x:c>
    </x:row>
    <x:row r="197" ht="15" hidden="0" customHeight="1">
      <x:c r="A197" s="60" t="n">
        <x:v>192</x:v>
      </x:c>
      <x:c r="B197" s="60" t="n">
        <x:v>8.895789679149201</x:v>
      </x:c>
      <x:c r="C197" s="60" t="n">
        <x:v>6.17080522329623</x:v>
      </x:c>
      <x:c r="D197" s="60" t="n">
        <x:v>5.0836463141399335</x:v>
      </x:c>
      <x:c r="E197" s="60" t="n">
        <x:v>2.72206159093288</x:v>
      </x:c>
      <x:c r="F197" s="60" t="n">
        <x:v>6.527697192481757</x:v>
      </x:c>
      <x:c r="G197" s="60" t="n">
        <x:v>5.880000000000001</x:v>
      </x:c>
      <x:c r="H197" s="57" t="str">
        <x:v>modeled_latent_ensemble</x:v>
      </x:c>
    </x:row>
    <x:row r="198" ht="15" hidden="0" customHeight="1">
      <x:c r="A198" s="59" t="n">
        <x:v>193</x:v>
      </x:c>
      <x:c r="B198" s="59" t="n">
        <x:v>8.789933984041838</x:v>
      </x:c>
      <x:c r="C198" s="59" t="n">
        <x:v>5.971798497959134</x:v>
      </x:c>
      <x:c r="D198" s="59" t="n">
        <x:v>4.91823847805732</x:v>
      </x:c>
      <x:c r="E198" s="59" t="n">
        <x:v>3.384842712982198</x:v>
      </x:c>
      <x:c r="F198" s="59" t="n">
        <x:v>6.335186326959512</x:v>
      </x:c>
      <x:c r="G198" s="59" t="n">
        <x:v>5.880000000000001</x:v>
      </x:c>
      <x:c r="H198" s="58" t="str">
        <x:v>modeled_latent_ensemble</x:v>
      </x:c>
    </x:row>
    <x:row r="199" ht="15" hidden="0" customHeight="1">
      <x:c r="A199" s="60" t="n">
        <x:v>194</x:v>
      </x:c>
      <x:c r="B199" s="60" t="n">
        <x:v>8.865641138529957</x:v>
      </x:c>
      <x:c r="C199" s="60" t="n">
        <x:v>5.9199291997814445</x:v>
      </x:c>
      <x:c r="D199" s="60" t="n">
        <x:v>5.209842401184905</x:v>
      </x:c>
      <x:c r="E199" s="60" t="n">
        <x:v>2.8461506879631298</x:v>
      </x:c>
      <x:c r="F199" s="60" t="n">
        <x:v>6.558436572540565</x:v>
      </x:c>
      <x:c r="G199" s="60" t="n">
        <x:v>5.88</x:v>
      </x:c>
      <x:c r="H199" s="57" t="str">
        <x:v>modeled_latent_ensemble</x:v>
      </x:c>
    </x:row>
    <x:row r="200" ht="15" hidden="0" customHeight="1">
      <x:c r="A200" s="59" t="n">
        <x:v>195</x:v>
      </x:c>
      <x:c r="B200" s="59" t="n">
        <x:v>8.897624058091186</x:v>
      </x:c>
      <x:c r="C200" s="59" t="n">
        <x:v>5.9559252766758055</x:v>
      </x:c>
      <x:c r="D200" s="59" t="n">
        <x:v>5.212380976081363</x:v>
      </x:c>
      <x:c r="E200" s="59" t="n">
        <x:v>2.919870610020874</x:v>
      </x:c>
      <x:c r="F200" s="59" t="n">
        <x:v>6.414199079130774</x:v>
      </x:c>
      <x:c r="G200" s="59" t="n">
        <x:v>5.880000000000001</x:v>
      </x:c>
      <x:c r="H200" s="58" t="str">
        <x:v>modeled_latent_ensemble</x:v>
      </x:c>
    </x:row>
    <x:row r="201" ht="15" hidden="0" customHeight="1">
      <x:c r="A201" s="60" t="n">
        <x:v>196</x:v>
      </x:c>
      <x:c r="B201" s="60" t="n">
        <x:v>8.913562569067883</x:v>
      </x:c>
      <x:c r="C201" s="60" t="n">
        <x:v>6.042455598948627</x:v>
      </x:c>
      <x:c r="D201" s="60" t="n">
        <x:v>5.108706289851843</x:v>
      </x:c>
      <x:c r="E201" s="60" t="n">
        <x:v>2.76868421497624</x:v>
      </x:c>
      <x:c r="F201" s="60" t="n">
        <x:v>6.566591327155408</x:v>
      </x:c>
      <x:c r="G201" s="60" t="n">
        <x:v>5.88</x:v>
      </x:c>
      <x:c r="H201" s="57" t="str">
        <x:v>modeled_latent_ensemble</x:v>
      </x:c>
    </x:row>
    <x:row r="202" ht="15" hidden="0" customHeight="1">
      <x:c r="A202" s="59" t="n">
        <x:v>197</x:v>
      </x:c>
      <x:c r="B202" s="59" t="n">
        <x:v>8.997683744585427</x:v>
      </x:c>
      <x:c r="C202" s="59" t="n">
        <x:v>6.1241641102492945</x:v>
      </x:c>
      <x:c r="D202" s="59" t="n">
        <x:v>5.234732941269601</x:v>
      </x:c>
      <x:c r="E202" s="59" t="n">
        <x:v>2.5782221099519833</x:v>
      </x:c>
      <x:c r="F202" s="59" t="n">
        <x:v>6.465197093943695</x:v>
      </x:c>
      <x:c r="G202" s="59" t="n">
        <x:v>5.88</x:v>
      </x:c>
      <x:c r="H202" s="58" t="str">
        <x:v>modeled_latent_ensemble</x:v>
      </x:c>
    </x:row>
    <x:row r="203" ht="15" hidden="0" customHeight="1">
      <x:c r="A203" s="60" t="n">
        <x:v>198</x:v>
      </x:c>
      <x:c r="B203" s="60" t="n">
        <x:v>8.771165010087469</x:v>
      </x:c>
      <x:c r="C203" s="60" t="n">
        <x:v>6.029237988147547</x:v>
      </x:c>
      <x:c r="D203" s="60" t="n">
        <x:v>4.949597347679904</x:v>
      </x:c>
      <x:c r="E203" s="60" t="n">
        <x:v>3.4049330571247585</x:v>
      </x:c>
      <x:c r="F203" s="60" t="n">
        <x:v>6.2450665969603225</x:v>
      </x:c>
      <x:c r="G203" s="60" t="n">
        <x:v>5.88</x:v>
      </x:c>
      <x:c r="H203" s="57" t="str">
        <x:v>modeled_latent_ensemble</x:v>
      </x:c>
    </x:row>
    <x:row r="204" ht="15" hidden="0" customHeight="1">
      <x:c r="A204" s="59" t="n">
        <x:v>199</x:v>
      </x:c>
      <x:c r="B204" s="59" t="n">
        <x:v>8.860329228921966</x:v>
      </x:c>
      <x:c r="C204" s="59" t="n">
        <x:v>5.876476578348864</x:v>
      </x:c>
      <x:c r="D204" s="59" t="n">
        <x:v>5.1553407539514176</x:v>
      </x:c>
      <x:c r="E204" s="59" t="n">
        <x:v>2.9439741128627026</x:v>
      </x:c>
      <x:c r="F204" s="59" t="n">
        <x:v>6.563879325915051</x:v>
      </x:c>
      <x:c r="G204" s="59" t="n">
        <x:v>5.88</x:v>
      </x:c>
      <x:c r="H204" s="58" t="str">
        <x:v>modeled_latent_ensemble</x:v>
      </x:c>
    </x:row>
    <x:row r="205" ht="15" hidden="0" customHeight="1">
      <x:c r="A205" s="60" t="n">
        <x:v>200</x:v>
      </x:c>
      <x:c r="B205" s="60" t="n">
        <x:v>8.958354264806305</x:v>
      </x:c>
      <x:c r="C205" s="60" t="n">
        <x:v>6.099017396113063</x:v>
      </x:c>
      <x:c r="D205" s="60" t="n">
        <x:v>5.086331656715071</x:v>
      </x:c>
      <x:c r="E205" s="60" t="n">
        <x:v>3.11576056455548</x:v>
      </x:c>
      <x:c r="F205" s="60" t="n">
        <x:v>6.140536117810082</x:v>
      </x:c>
      <x:c r="G205" s="60" t="n">
        <x:v>5.880000000000001</x:v>
      </x:c>
      <x:c r="H205" s="57" t="str">
        <x:v>modeled_latent_ensemble</x:v>
      </x:c>
    </x:row>
    <x:row r="206" ht="15" hidden="0" customHeight="1">
      <x:c r="A206" s="59" t="n">
        <x:v>201</x:v>
      </x:c>
      <x:c r="B206" s="59" t="n">
        <x:v>8.872172728265998</x:v>
      </x:c>
      <x:c r="C206" s="59" t="n">
        <x:v>6.014474825279306</x:v>
      </x:c>
      <x:c r="D206" s="59" t="n">
        <x:v>5.235247286878832</x:v>
      </x:c>
      <x:c r="E206" s="59" t="n">
        <x:v>2.859823358352125</x:v>
      </x:c>
      <x:c r="F206" s="59" t="n">
        <x:v>6.418281801223741</x:v>
      </x:c>
      <x:c r="G206" s="59" t="n">
        <x:v>5.880000000000001</x:v>
      </x:c>
      <x:c r="H206" s="58" t="str">
        <x:v>modeled_latent_ensemble</x:v>
      </x:c>
    </x:row>
    <x:row r="207" ht="15" hidden="0" customHeight="1">
      <x:c r="A207" s="60" t="n">
        <x:v>202</x:v>
      </x:c>
      <x:c r="B207" s="60" t="n">
        <x:v>8.897365980581245</x:v>
      </x:c>
      <x:c r="C207" s="60" t="n">
        <x:v>6.069481361717735</x:v>
      </x:c>
      <x:c r="D207" s="60" t="n">
        <x:v>5.008854598597237</x:v>
      </x:c>
      <x:c r="E207" s="60" t="n">
        <x:v>3.1299991437720136</x:v>
      </x:c>
      <x:c r="F207" s="60" t="n">
        <x:v>6.294298915331771</x:v>
      </x:c>
      <x:c r="G207" s="60" t="n">
        <x:v>5.88</x:v>
      </x:c>
      <x:c r="H207" s="57" t="str">
        <x:v>modeled_latent_ensemble</x:v>
      </x:c>
    </x:row>
    <x:row r="208" ht="15" hidden="0" customHeight="1">
      <x:c r="A208" s="59" t="n">
        <x:v>203</x:v>
      </x:c>
      <x:c r="B208" s="59" t="n">
        <x:v>8.997133721676699</x:v>
      </x:c>
      <x:c r="C208" s="59" t="n">
        <x:v>6.032495647896992</x:v>
      </x:c>
      <x:c r="D208" s="59" t="n">
        <x:v>5.039875311343657</x:v>
      </x:c>
      <x:c r="E208" s="59" t="n">
        <x:v>3.088320943720119</x:v>
      </x:c>
      <x:c r="F208" s="59" t="n">
        <x:v>6.242174375362534</x:v>
      </x:c>
      <x:c r="G208" s="59" t="n">
        <x:v>5.880000000000001</x:v>
      </x:c>
      <x:c r="H208" s="58" t="str">
        <x:v>modeled_latent_ensemble</x:v>
      </x:c>
    </x:row>
    <x:row r="209" ht="15" hidden="0" customHeight="1">
      <x:c r="A209" s="60" t="n">
        <x:v>204</x:v>
      </x:c>
      <x:c r="B209" s="60" t="n">
        <x:v>8.98938119171285</x:v>
      </x:c>
      <x:c r="C209" s="60" t="n">
        <x:v>6.014698875986563</x:v>
      </x:c>
      <x:c r="D209" s="60" t="n">
        <x:v>5.171357094399816</x:v>
      </x:c>
      <x:c r="E209" s="60" t="n">
        <x:v>2.902598416769332</x:v>
      </x:c>
      <x:c r="F209" s="60" t="n">
        <x:v>6.321964421131439</x:v>
      </x:c>
      <x:c r="G209" s="60" t="n">
        <x:v>5.880000000000001</x:v>
      </x:c>
      <x:c r="H209" s="57" t="str">
        <x:v>modeled_latent_ensemble</x:v>
      </x:c>
    </x:row>
    <x:row r="210" ht="15" hidden="0" customHeight="1">
      <x:c r="A210" s="59" t="n">
        <x:v>205</x:v>
      </x:c>
      <x:c r="B210" s="59" t="n">
        <x:v>8.763819959567465</x:v>
      </x:c>
      <x:c r="C210" s="59" t="n">
        <x:v>5.913273642046083</x:v>
      </x:c>
      <x:c r="D210" s="59" t="n">
        <x:v>5.096083508599619</x:v>
      </x:c>
      <x:c r="E210" s="59" t="n">
        <x:v>3.247878079520886</x:v>
      </x:c>
      <x:c r="F210" s="59" t="n">
        <x:v>6.378944810265947</x:v>
      </x:c>
      <x:c r="G210" s="59" t="n">
        <x:v>5.880000000000001</x:v>
      </x:c>
      <x:c r="H210" s="58" t="str">
        <x:v>modeled_latent_ensemble</x:v>
      </x:c>
    </x:row>
    <x:row r="211" ht="15" hidden="0" customHeight="1">
      <x:c r="A211" s="60" t="n">
        <x:v>206</x:v>
      </x:c>
      <x:c r="B211" s="60" t="n">
        <x:v>8.875427545468922</x:v>
      </x:c>
      <x:c r="C211" s="60" t="n">
        <x:v>6.045588935924137</x:v>
      </x:c>
      <x:c r="D211" s="60" t="n">
        <x:v>5.014969901923993</x:v>
      </x:c>
      <x:c r="E211" s="60" t="n">
        <x:v>3.103432384148223</x:v>
      </x:c>
      <x:c r="F211" s="60" t="n">
        <x:v>6.360581232534726</x:v>
      </x:c>
      <x:c r="G211" s="60" t="n">
        <x:v>5.880000000000001</x:v>
      </x:c>
      <x:c r="H211" s="57" t="str">
        <x:v>modeled_latent_ensemble</x:v>
      </x:c>
    </x:row>
    <x:row r="212" ht="15" hidden="0" customHeight="1">
      <x:c r="A212" s="59" t="n">
        <x:v>207</x:v>
      </x:c>
      <x:c r="B212" s="59" t="n">
        <x:v>9.03731138890783</x:v>
      </x:c>
      <x:c r="C212" s="59" t="n">
        <x:v>6.199276113890354</x:v>
      </x:c>
      <x:c r="D212" s="59" t="n">
        <x:v>5.071253543031498</x:v>
      </x:c>
      <x:c r="E212" s="59" t="n">
        <x:v>2.5603582712547213</x:v>
      </x:c>
      <x:c r="F212" s="59" t="n">
        <x:v>6.531800682915598</x:v>
      </x:c>
      <x:c r="G212" s="59" t="n">
        <x:v>5.880000000000001</x:v>
      </x:c>
      <x:c r="H212" s="58" t="str">
        <x:v>modeled_latent_ensemble</x:v>
      </x:c>
    </x:row>
    <x:row r="213" ht="15" hidden="0" customHeight="1">
      <x:c r="A213" s="60" t="n">
        <x:v>208</x:v>
      </x:c>
      <x:c r="B213" s="60" t="n">
        <x:v>8.79988635950129</x:v>
      </x:c>
      <x:c r="C213" s="60" t="n">
        <x:v>5.952964742742507</x:v>
      </x:c>
      <x:c r="D213" s="60" t="n">
        <x:v>5.215378604658709</x:v>
      </x:c>
      <x:c r="E213" s="60" t="n">
        <x:v>2.9774532381801637</x:v>
      </x:c>
      <x:c r="F213" s="60" t="n">
        <x:v>6.454317054917332</x:v>
      </x:c>
      <x:c r="G213" s="60" t="n">
        <x:v>5.880000000000001</x:v>
      </x:c>
      <x:c r="H213" s="57" t="str">
        <x:v>modeled_latent_ensemble</x:v>
      </x:c>
    </x:row>
    <x:row r="214" ht="15" hidden="0" customHeight="1">
      <x:c r="A214" s="59" t="n">
        <x:v>209</x:v>
      </x:c>
      <x:c r="B214" s="59" t="n">
        <x:v>8.8368073256841</x:v>
      </x:c>
      <x:c r="C214" s="59" t="n">
        <x:v>5.9668091483526595</x:v>
      </x:c>
      <x:c r="D214" s="59" t="n">
        <x:v>5.227430361770867</x:v>
      </x:c>
      <x:c r="E214" s="59" t="n">
        <x:v>3.146350310376348</x:v>
      </x:c>
      <x:c r="F214" s="59" t="n">
        <x:v>6.222602853816027</x:v>
      </x:c>
      <x:c r="G214" s="59" t="n">
        <x:v>5.880000000000001</x:v>
      </x:c>
      <x:c r="H214" s="58" t="str">
        <x:v>modeled_latent_ensemble</x:v>
      </x:c>
    </x:row>
    <x:row r="215" ht="15" hidden="0" customHeight="1">
      <x:c r="A215" s="60" t="n">
        <x:v>210</x:v>
      </x:c>
      <x:c r="B215" s="60" t="n">
        <x:v>8.922227478220883</x:v>
      </x:c>
      <x:c r="C215" s="60" t="n">
        <x:v>6.038303270577277</x:v>
      </x:c>
      <x:c r="D215" s="60" t="n">
        <x:v>5.075242848644692</x:v>
      </x:c>
      <x:c r="E215" s="60" t="n">
        <x:v>3.056291317431525</x:v>
      </x:c>
      <x:c r="F215" s="60" t="n">
        <x:v>6.307935085125626</x:v>
      </x:c>
      <x:c r="G215" s="60" t="n">
        <x:v>5.880000000000001</x:v>
      </x:c>
      <x:c r="H215" s="57" t="str">
        <x:v>modeled_latent_ensemble</x:v>
      </x:c>
    </x:row>
    <x:row r="216" ht="15" hidden="0" customHeight="1">
      <x:c r="A216" s="59" t="n">
        <x:v>211</x:v>
      </x:c>
      <x:c r="B216" s="59" t="n">
        <x:v>8.874190330437408</x:v>
      </x:c>
      <x:c r="C216" s="59" t="n">
        <x:v>6.0692758843479035</x:v>
      </x:c>
      <x:c r="D216" s="59" t="n">
        <x:v>5.116277271085938</x:v>
      </x:c>
      <x:c r="E216" s="59" t="n">
        <x:v>2.949880079996116</x:v>
      </x:c>
      <x:c r="F216" s="59" t="n">
        <x:v>6.3903764341326355</x:v>
      </x:c>
      <x:c r="G216" s="59" t="n">
        <x:v>5.88</x:v>
      </x:c>
      <x:c r="H216" s="58" t="str">
        <x:v>modeled_latent_ensemble</x:v>
      </x:c>
    </x:row>
    <x:row r="217" ht="15" hidden="0" customHeight="1">
      <x:c r="A217" s="60" t="n">
        <x:v>212</x:v>
      </x:c>
      <x:c r="B217" s="60" t="n">
        <x:v>8.878216172865033</x:v>
      </x:c>
      <x:c r="C217" s="60" t="n">
        <x:v>5.896953163915629</x:v>
      </x:c>
      <x:c r="D217" s="60" t="n">
        <x:v>5.161070599009261</x:v>
      </x:c>
      <x:c r="E217" s="60" t="n">
        <x:v>3.0755588679147783</x:v>
      </x:c>
      <x:c r="F217" s="60" t="n">
        <x:v>6.3882011962953005</x:v>
      </x:c>
      <x:c r="G217" s="60" t="n">
        <x:v>5.880000000000001</x:v>
      </x:c>
      <x:c r="H217" s="57" t="str">
        <x:v>modeled_latent_ensemble</x:v>
      </x:c>
    </x:row>
    <x:row r="218" ht="15" hidden="0" customHeight="1">
      <x:c r="A218" s="59" t="n">
        <x:v>213</x:v>
      </x:c>
      <x:c r="B218" s="59" t="n">
        <x:v>9.025388906011713</x:v>
      </x:c>
      <x:c r="C218" s="59" t="n">
        <x:v>6.0110192426945375</x:v>
      </x:c>
      <x:c r="D218" s="59" t="n">
        <x:v>5.151993318292882</x:v>
      </x:c>
      <x:c r="E218" s="59" t="n">
        <x:v>2.696416090820161</x:v>
      </x:c>
      <x:c r="F218" s="59" t="n">
        <x:v>6.515182442180707</x:v>
      </x:c>
      <x:c r="G218" s="59" t="n">
        <x:v>5.88</x:v>
      </x:c>
      <x:c r="H218" s="58" t="str">
        <x:v>modeled_latent_ensemble</x:v>
      </x:c>
    </x:row>
    <x:row r="219" ht="15" hidden="0" customHeight="1">
      <x:c r="A219" s="60" t="n">
        <x:v>214</x:v>
      </x:c>
      <x:c r="B219" s="60" t="n">
        <x:v>8.848751996982546</x:v>
      </x:c>
      <x:c r="C219" s="60" t="n">
        <x:v>5.997437857977116</x:v>
      </x:c>
      <x:c r="D219" s="60" t="n">
        <x:v>5.130848520949439</x:v>
      </x:c>
      <x:c r="E219" s="60" t="n">
        <x:v>2.948306826968464</x:v>
      </x:c>
      <x:c r="F219" s="60" t="n">
        <x:v>6.474654797122436</x:v>
      </x:c>
      <x:c r="G219" s="60" t="n">
        <x:v>5.880000000000001</x:v>
      </x:c>
      <x:c r="H219" s="57" t="str">
        <x:v>modeled_latent_ensemble</x:v>
      </x:c>
    </x:row>
    <x:row r="220" ht="15" hidden="0" customHeight="1">
      <x:c r="A220" s="59" t="n">
        <x:v>215</x:v>
      </x:c>
      <x:c r="B220" s="59" t="n">
        <x:v>8.910057309519976</x:v>
      </x:c>
      <x:c r="C220" s="59" t="n">
        <x:v>6.162180701960754</x:v>
      </x:c>
      <x:c r="D220" s="59" t="n">
        <x:v>4.990607237737138</x:v>
      </x:c>
      <x:c r="E220" s="59" t="n">
        <x:v>2.9871451314539317</x:v>
      </x:c>
      <x:c r="F220" s="59" t="n">
        <x:v>6.3500096193282</x:v>
      </x:c>
      <x:c r="G220" s="59" t="n">
        <x:v>5.880000000000001</x:v>
      </x:c>
      <x:c r="H220" s="58" t="str">
        <x:v>modeled_latent_ensemble</x:v>
      </x:c>
    </x:row>
    <x:row r="221" ht="15" hidden="0" customHeight="1">
      <x:c r="A221" s="60" t="n">
        <x:v>216</x:v>
      </x:c>
      <x:c r="B221" s="60" t="n">
        <x:v>8.901763434274535</x:v>
      </x:c>
      <x:c r="C221" s="60" t="n">
        <x:v>6.058950854972519</x:v>
      </x:c>
      <x:c r="D221" s="60" t="n">
        <x:v>4.975696398249615</x:v>
      </x:c>
      <x:c r="E221" s="60" t="n">
        <x:v>2.8549826271406227</x:v>
      </x:c>
      <x:c r="F221" s="60" t="n">
        <x:v>6.608606685362709</x:v>
      </x:c>
      <x:c r="G221" s="60" t="n">
        <x:v>5.88</x:v>
      </x:c>
      <x:c r="H221" s="57" t="str">
        <x:v>modeled_latent_ensemble</x:v>
      </x:c>
    </x:row>
    <x:row r="222" ht="15" hidden="0" customHeight="1">
      <x:c r="A222" s="59" t="n">
        <x:v>217</x:v>
      </x:c>
      <x:c r="B222" s="59" t="n">
        <x:v>8.977435262692973</x:v>
      </x:c>
      <x:c r="C222" s="59" t="n">
        <x:v>6.055629083053113</x:v>
      </x:c>
      <x:c r="D222" s="59" t="n">
        <x:v>4.816770940681075</x:v>
      </x:c>
      <x:c r="E222" s="59" t="n">
        <x:v>3.114331183584759</x:v>
      </x:c>
      <x:c r="F222" s="59" t="n">
        <x:v>6.43583352998808</x:v>
      </x:c>
      <x:c r="G222" s="59" t="n">
        <x:v>5.880000000000001</x:v>
      </x:c>
      <x:c r="H222" s="58" t="str">
        <x:v>modeled_latent_ensemble</x:v>
      </x:c>
    </x:row>
    <x:row r="223" ht="15" hidden="0" customHeight="1">
      <x:c r="A223" s="60" t="n">
        <x:v>218</x:v>
      </x:c>
      <x:c r="B223" s="60" t="n">
        <x:v>8.803077913884822</x:v>
      </x:c>
      <x:c r="C223" s="60" t="n">
        <x:v>5.895462845551483</x:v>
      </x:c>
      <x:c r="D223" s="60" t="n">
        <x:v>4.925009490219503</x:v>
      </x:c>
      <x:c r="E223" s="60" t="n">
        <x:v>3.3310014660444627</x:v>
      </x:c>
      <x:c r="F223" s="60" t="n">
        <x:v>6.4454482842997285</x:v>
      </x:c>
      <x:c r="G223" s="60" t="n">
        <x:v>5.88</x:v>
      </x:c>
      <x:c r="H223" s="57" t="str">
        <x:v>modeled_latent_ensemble</x:v>
      </x:c>
    </x:row>
    <x:row r="224" ht="15" hidden="0" customHeight="1">
      <x:c r="A224" s="59" t="n">
        <x:v>219</x:v>
      </x:c>
      <x:c r="B224" s="59" t="n">
        <x:v>8.799057260073953</x:v>
      </x:c>
      <x:c r="C224" s="59" t="n">
        <x:v>6.145586377161841</x:v>
      </x:c>
      <x:c r="D224" s="59" t="n">
        <x:v>5.311715796867311</x:v>
      </x:c>
      <x:c r="E224" s="59" t="n">
        <x:v>2.935468104558142</x:v>
      </x:c>
      <x:c r="F224" s="59" t="n">
        <x:v>6.208172461338755</x:v>
      </x:c>
      <x:c r="G224" s="59" t="n">
        <x:v>5.88</x:v>
      </x:c>
      <x:c r="H224" s="58" t="str">
        <x:v>modeled_latent_ensemble</x:v>
      </x:c>
    </x:row>
    <x:row r="225" ht="15" hidden="0" customHeight="1">
      <x:c r="A225" s="60" t="n">
        <x:v>220</x:v>
      </x:c>
      <x:c r="B225" s="60" t="n">
        <x:v>8.930599784749978</x:v>
      </x:c>
      <x:c r="C225" s="60" t="n">
        <x:v>6.125404719539213</x:v>
      </x:c>
      <x:c r="D225" s="60" t="n">
        <x:v>5.098003603561207</x:v>
      </x:c>
      <x:c r="E225" s="60" t="n">
        <x:v>2.8249286494031507</x:v>
      </x:c>
      <x:c r="F225" s="60" t="n">
        <x:v>6.4210632427464525</x:v>
      </x:c>
      <x:c r="G225" s="60" t="n">
        <x:v>5.880000000000001</x:v>
      </x:c>
      <x:c r="H225" s="57" t="str">
        <x:v>modeled_latent_ensemble</x:v>
      </x:c>
    </x:row>
    <x:row r="226" ht="15" hidden="0" customHeight="1">
      <x:c r="A226" s="59" t="n">
        <x:v>221</x:v>
      </x:c>
      <x:c r="B226" s="59" t="n">
        <x:v>8.86267259757522</x:v>
      </x:c>
      <x:c r="C226" s="59" t="n">
        <x:v>6.1634050393377775</x:v>
      </x:c>
      <x:c r="D226" s="59" t="n">
        <x:v>5.1912044772179415</x:v>
      </x:c>
      <x:c r="E226" s="59" t="n">
        <x:v>2.7608103933563015</x:v>
      </x:c>
      <x:c r="F226" s="59" t="n">
        <x:v>6.42190749251276</x:v>
      </x:c>
      <x:c r="G226" s="59" t="n">
        <x:v>5.88</x:v>
      </x:c>
      <x:c r="H226" s="58" t="str">
        <x:v>modeled_latent_ensemble</x:v>
      </x:c>
    </x:row>
    <x:row r="227" ht="15" hidden="0" customHeight="1">
      <x:c r="A227" s="60" t="n">
        <x:v>222</x:v>
      </x:c>
      <x:c r="B227" s="60" t="n">
        <x:v>8.918041070480152</x:v>
      </x:c>
      <x:c r="C227" s="60" t="n">
        <x:v>6.0331075227094795</x:v>
      </x:c>
      <x:c r="D227" s="60" t="n">
        <x:v>4.941091768497285</x:v>
      </x:c>
      <x:c r="E227" s="60" t="n">
        <x:v>2.9150423856063266</x:v>
      </x:c>
      <x:c r="F227" s="60" t="n">
        <x:v>6.592717252706759</x:v>
      </x:c>
      <x:c r="G227" s="60" t="n">
        <x:v>5.880000000000001</x:v>
      </x:c>
      <x:c r="H227" s="57" t="str">
        <x:v>modeled_latent_ensemble</x:v>
      </x:c>
    </x:row>
    <x:row r="228" ht="15" hidden="0" customHeight="1">
      <x:c r="A228" s="59" t="n">
        <x:v>223</x:v>
      </x:c>
      <x:c r="B228" s="59" t="n">
        <x:v>8.782476572831259</x:v>
      </x:c>
      <x:c r="C228" s="59" t="n">
        <x:v>5.860730580716735</x:v>
      </x:c>
      <x:c r="D228" s="59" t="n">
        <x:v>5.013645843286643</x:v>
      </x:c>
      <x:c r="E228" s="59" t="n">
        <x:v>3.45746704383104</x:v>
      </x:c>
      <x:c r="F228" s="59" t="n">
        <x:v>6.285679959334325</x:v>
      </x:c>
      <x:c r="G228" s="59" t="n">
        <x:v>5.880000000000001</x:v>
      </x:c>
      <x:c r="H228" s="58" t="str">
        <x:v>modeled_latent_ensemble</x:v>
      </x:c>
    </x:row>
    <x:row r="229" ht="15" hidden="0" customHeight="1">
      <x:c r="A229" s="60" t="n">
        <x:v>224</x:v>
      </x:c>
      <x:c r="B229" s="60" t="n">
        <x:v>8.983012172818043</x:v>
      </x:c>
      <x:c r="C229" s="60" t="n">
        <x:v>6.168916672956461</x:v>
      </x:c>
      <x:c r="D229" s="60" t="n">
        <x:v>4.98491109967693</x:v>
      </x:c>
      <x:c r="E229" s="60" t="n">
        <x:v>2.634846312308321</x:v>
      </x:c>
      <x:c r="F229" s="60" t="n">
        <x:v>6.6283137422402465</x:v>
      </x:c>
      <x:c r="G229" s="60" t="n">
        <x:v>5.88</x:v>
      </x:c>
      <x:c r="H229" s="57" t="str">
        <x:v>modeled_latent_ensemble</x:v>
      </x:c>
    </x:row>
    <x:row r="230" ht="15" hidden="0" customHeight="1">
      <x:c r="A230" s="59" t="n">
        <x:v>225</x:v>
      </x:c>
      <x:c r="B230" s="59" t="n">
        <x:v>8.969279387587585</x:v>
      </x:c>
      <x:c r="C230" s="59" t="n">
        <x:v>6.03683548436765</x:v>
      </x:c>
      <x:c r="D230" s="59" t="n">
        <x:v>5.073053469279658</x:v>
      </x:c>
      <x:c r="E230" s="59" t="n">
        <x:v>2.7222063712385696</x:v>
      </x:c>
      <x:c r="F230" s="59" t="n">
        <x:v>6.598625287526539</x:v>
      </x:c>
      <x:c r="G230" s="59" t="n">
        <x:v>5.880000000000001</x:v>
      </x:c>
      <x:c r="H230" s="58" t="str">
        <x:v>modeled_latent_ensemble</x:v>
      </x:c>
    </x:row>
    <x:row r="231" ht="15" hidden="0" customHeight="1">
      <x:c r="A231" s="60" t="n">
        <x:v>226</x:v>
      </x:c>
      <x:c r="B231" s="60" t="n">
        <x:v>8.985755550476354</x:v>
      </x:c>
      <x:c r="C231" s="60" t="n">
        <x:v>5.926466913747996</x:v>
      </x:c>
      <x:c r="D231" s="60" t="n">
        <x:v>4.999149079906586</x:v>
      </x:c>
      <x:c r="E231" s="60" t="n">
        <x:v>3.3342127784483204</x:v>
      </x:c>
      <x:c r="F231" s="60" t="n">
        <x:v>6.1544156774207455</x:v>
      </x:c>
      <x:c r="G231" s="60" t="n">
        <x:v>5.880000000000001</x:v>
      </x:c>
      <x:c r="H231" s="57" t="str">
        <x:v>modeled_latent_ensemble</x:v>
      </x:c>
    </x:row>
    <x:row r="232" ht="15" hidden="0" customHeight="1">
      <x:c r="A232" s="59" t="n">
        <x:v>227</x:v>
      </x:c>
      <x:c r="B232" s="59" t="n">
        <x:v>8.73486527754264</x:v>
      </x:c>
      <x:c r="C232" s="59" t="n">
        <x:v>6.01695933501293</x:v>
      </x:c>
      <x:c r="D232" s="59" t="n">
        <x:v>5.086125312604524</x:v>
      </x:c>
      <x:c r="E232" s="59" t="n">
        <x:v>3.1213197361283336</x:v>
      </x:c>
      <x:c r="F232" s="59" t="n">
        <x:v>6.440730338711572</x:v>
      </x:c>
      <x:c r="G232" s="59" t="n">
        <x:v>5.88</x:v>
      </x:c>
      <x:c r="H232" s="58" t="str">
        <x:v>modeled_latent_ensemble</x:v>
      </x:c>
    </x:row>
    <x:row r="233" ht="15" hidden="0" customHeight="1">
      <x:c r="A233" s="60" t="n">
        <x:v>228</x:v>
      </x:c>
      <x:c r="B233" s="60" t="n">
        <x:v>8.866097050298738</x:v>
      </x:c>
      <x:c r="C233" s="60" t="n">
        <x:v>6.0847548799165425</x:v>
      </x:c>
      <x:c r="D233" s="60" t="n">
        <x:v>5.088055829379441</x:v>
      </x:c>
      <x:c r="E233" s="60" t="n">
        <x:v>2.981205957660001</x:v>
      </x:c>
      <x:c r="F233" s="60" t="n">
        <x:v>6.379886282745279</x:v>
      </x:c>
      <x:c r="G233" s="60" t="n">
        <x:v>5.880000000000001</x:v>
      </x:c>
      <x:c r="H233" s="57" t="str">
        <x:v>modeled_latent_ensemble</x:v>
      </x:c>
    </x:row>
    <x:row r="234" ht="15" hidden="0" customHeight="1">
      <x:c r="A234" s="59" t="n">
        <x:v>229</x:v>
      </x:c>
      <x:c r="B234" s="59" t="n">
        <x:v>8.821984012573967</x:v>
      </x:c>
      <x:c r="C234" s="59" t="n">
        <x:v>5.957027319149103</x:v>
      </x:c>
      <x:c r="D234" s="59" t="n">
        <x:v>5.065454651486002</x:v>
      </x:c>
      <x:c r="E234" s="59" t="n">
        <x:v>3.0857862133682277</x:v>
      </x:c>
      <x:c r="F234" s="59" t="n">
        <x:v>6.469747803422702</x:v>
      </x:c>
      <x:c r="G234" s="59" t="n">
        <x:v>5.88</x:v>
      </x:c>
      <x:c r="H234" s="58" t="str">
        <x:v>modeled_latent_ensemble</x:v>
      </x:c>
    </x:row>
    <x:row r="235" ht="15" hidden="0" customHeight="1">
      <x:c r="A235" s="60" t="n">
        <x:v>230</x:v>
      </x:c>
      <x:c r="B235" s="60" t="n">
        <x:v>8.89280057092393</x:v>
      </x:c>
      <x:c r="C235" s="60" t="n">
        <x:v>5.89380586371321</x:v>
      </x:c>
      <x:c r="D235" s="60" t="n">
        <x:v>5.204933159397106</x:v>
      </x:c>
      <x:c r="E235" s="60" t="n">
        <x:v>2.8780026747553284</x:v>
      </x:c>
      <x:c r="F235" s="60" t="n">
        <x:v>6.530457731210427</x:v>
      </x:c>
      <x:c r="G235" s="60" t="n">
        <x:v>5.88</x:v>
      </x:c>
      <x:c r="H235" s="57" t="str">
        <x:v>modeled_latent_ensemble</x:v>
      </x:c>
    </x:row>
    <x:row r="236" ht="15" hidden="0" customHeight="1">
      <x:c r="A236" s="59" t="n">
        <x:v>231</x:v>
      </x:c>
      <x:c r="B236" s="59" t="n">
        <x:v>9.022949418856482</x:v>
      </x:c>
      <x:c r="C236" s="59" t="n">
        <x:v>6.03664622457945</x:v>
      </x:c>
      <x:c r="D236" s="59" t="n">
        <x:v>5.028961434102079</x:v>
      </x:c>
      <x:c r="E236" s="59" t="n">
        <x:v>2.8236946244142005</x:v>
      </x:c>
      <x:c r="F236" s="59" t="n">
        <x:v>6.487748298047788</x:v>
      </x:c>
      <x:c r="G236" s="59" t="n">
        <x:v>5.880000000000001</x:v>
      </x:c>
      <x:c r="H236" s="58" t="str">
        <x:v>modeled_latent_ensemble</x:v>
      </x:c>
    </x:row>
    <x:row r="237" ht="15" hidden="0" customHeight="1">
      <x:c r="A237" s="60" t="n">
        <x:v>232</x:v>
      </x:c>
      <x:c r="B237" s="60" t="n">
        <x:v>8.880760166057236</x:v>
      </x:c>
      <x:c r="C237" s="60" t="n">
        <x:v>6.012582156585512</x:v>
      </x:c>
      <x:c r="D237" s="60" t="n">
        <x:v>5.150829076947257</x:v>
      </x:c>
      <x:c r="E237" s="60" t="n">
        <x:v>2.8221926563619446</x:v>
      </x:c>
      <x:c r="F237" s="60" t="n">
        <x:v>6.53363594404805</x:v>
      </x:c>
      <x:c r="G237" s="60" t="n">
        <x:v>5.880000000000001</x:v>
      </x:c>
      <x:c r="H237" s="57" t="str">
        <x:v>modeled_latent_ensemble</x:v>
      </x:c>
    </x:row>
    <x:row r="238" ht="15" hidden="0" customHeight="1">
      <x:c r="A238" s="59" t="n">
        <x:v>233</x:v>
      </x:c>
      <x:c r="B238" s="59" t="n">
        <x:v>8.977793388392453</x:v>
      </x:c>
      <x:c r="C238" s="59" t="n">
        <x:v>6.194829338191084</x:v>
      </x:c>
      <x:c r="D238" s="59" t="n">
        <x:v>5.121795280672341</x:v>
      </x:c>
      <x:c r="E238" s="59" t="n">
        <x:v>2.57816553605634</x:v>
      </x:c>
      <x:c r="F238" s="59" t="n">
        <x:v>6.527416456687782</x:v>
      </x:c>
      <x:c r="G238" s="59" t="n">
        <x:v>5.88</x:v>
      </x:c>
      <x:c r="H238" s="58" t="str">
        <x:v>modeled_latent_ensemble</x:v>
      </x:c>
    </x:row>
    <x:row r="239" ht="15" hidden="0" customHeight="1">
      <x:c r="A239" s="60" t="n">
        <x:v>234</x:v>
      </x:c>
      <x:c r="B239" s="60" t="n">
        <x:v>8.748329030653947</x:v>
      </x:c>
      <x:c r="C239" s="60" t="n">
        <x:v>5.923308228489945</x:v>
      </x:c>
      <x:c r="D239" s="60" t="n">
        <x:v>5.233749571677072</x:v>
      </x:c>
      <x:c r="E239" s="60" t="n">
        <x:v>3.270786430903205</x:v>
      </x:c>
      <x:c r="F239" s="60" t="n">
        <x:v>6.223826738275832</x:v>
      </x:c>
      <x:c r="G239" s="60" t="n">
        <x:v>5.880000000000001</x:v>
      </x:c>
      <x:c r="H239" s="57" t="str">
        <x:v>modeled_latent_ensemble</x:v>
      </x:c>
    </x:row>
    <x:row r="240" ht="15" hidden="0" customHeight="1">
      <x:c r="A240" s="59" t="n">
        <x:v>235</x:v>
      </x:c>
      <x:c r="B240" s="59" t="n">
        <x:v>8.963901976507701</x:v>
      </x:c>
      <x:c r="C240" s="59" t="n">
        <x:v>6.088653565241494</x:v>
      </x:c>
      <x:c r="D240" s="59" t="n">
        <x:v>5.187713859668266</x:v>
      </x:c>
      <x:c r="E240" s="59" t="n">
        <x:v>2.7128051310674257</x:v>
      </x:c>
      <x:c r="F240" s="59" t="n">
        <x:v>6.446925467515114</x:v>
      </x:c>
      <x:c r="G240" s="59" t="n">
        <x:v>5.880000000000001</x:v>
      </x:c>
      <x:c r="H240" s="58" t="str">
        <x:v>modeled_latent_ensemble</x:v>
      </x:c>
    </x:row>
    <x:row r="241" ht="15" hidden="0" customHeight="1">
      <x:c r="A241" s="60" t="n">
        <x:v>236</x:v>
      </x:c>
      <x:c r="B241" s="60" t="n">
        <x:v>9.007355396349881</x:v>
      </x:c>
      <x:c r="C241" s="60" t="n">
        <x:v>5.887910407178327</x:v>
      </x:c>
      <x:c r="D241" s="60" t="n">
        <x:v>4.9305449196668825</x:v>
      </x:c>
      <x:c r="E241" s="60" t="n">
        <x:v>2.9459100240423983</x:v>
      </x:c>
      <x:c r="F241" s="60" t="n">
        <x:v>6.6282792527625105</x:v>
      </x:c>
      <x:c r="G241" s="60" t="n">
        <x:v>5.88</x:v>
      </x:c>
      <x:c r="H241" s="57" t="str">
        <x:v>modeled_latent_ensemble</x:v>
      </x:c>
    </x:row>
    <x:row r="242" ht="15" hidden="0" customHeight="1">
      <x:c r="A242" s="59" t="n">
        <x:v>237</x:v>
      </x:c>
      <x:c r="B242" s="59" t="n">
        <x:v>8.784174129477512</x:v>
      </x:c>
      <x:c r="C242" s="59" t="n">
        <x:v>6.016920590601671</x:v>
      </x:c>
      <x:c r="D242" s="59" t="n">
        <x:v>4.999835669727125</x:v>
      </x:c>
      <x:c r="E242" s="59" t="n">
        <x:v>3.0495395846809608</x:v>
      </x:c>
      <x:c r="F242" s="59" t="n">
        <x:v>6.549530025512734</x:v>
      </x:c>
      <x:c r="G242" s="59" t="n">
        <x:v>5.880000000000001</x:v>
      </x:c>
      <x:c r="H242" s="58" t="str">
        <x:v>modeled_latent_ensemble</x:v>
      </x:c>
    </x:row>
    <x:row r="243" ht="15" hidden="0" customHeight="1">
      <x:c r="A243" s="60" t="n">
        <x:v>238</x:v>
      </x:c>
      <x:c r="B243" s="60" t="n">
        <x:v>8.862731274584428</x:v>
      </x:c>
      <x:c r="C243" s="60" t="n">
        <x:v>5.948657546375382</x:v>
      </x:c>
      <x:c r="D243" s="60" t="n">
        <x:v>5.234677423308373</x:v>
      </x:c>
      <x:c r="E243" s="60" t="n">
        <x:v>2.841471046696419</x:v>
      </x:c>
      <x:c r="F243" s="60" t="n">
        <x:v>6.512462709035399</x:v>
      </x:c>
      <x:c r="G243" s="60" t="n">
        <x:v>5.88</x:v>
      </x:c>
      <x:c r="H243" s="57" t="str">
        <x:v>modeled_latent_ensemble</x:v>
      </x:c>
    </x:row>
    <x:row r="244" ht="15" hidden="0" customHeight="1">
      <x:c r="A244" s="59" t="n">
        <x:v>239</x:v>
      </x:c>
      <x:c r="B244" s="59" t="n">
        <x:v>8.892321637079473</x:v>
      </x:c>
      <x:c r="C244" s="59" t="n">
        <x:v>6.147086399765545</x:v>
      </x:c>
      <x:c r="D244" s="59" t="n">
        <x:v>4.955765673493162</x:v>
      </x:c>
      <x:c r="E244" s="59" t="n">
        <x:v>3.2250160832782337</x:v>
      </x:c>
      <x:c r="F244" s="59" t="n">
        <x:v>6.179810206383587</x:v>
      </x:c>
      <x:c r="G244" s="59" t="n">
        <x:v>5.88</x:v>
      </x:c>
      <x:c r="H244" s="58" t="str">
        <x:v>modeled_latent_ensemble</x:v>
      </x:c>
    </x:row>
    <x:row r="245" ht="15" hidden="0" customHeight="1">
      <x:c r="A245" s="60" t="n">
        <x:v>240</x:v>
      </x:c>
      <x:c r="B245" s="60" t="n">
        <x:v>8.788033050902907</x:v>
      </x:c>
      <x:c r="C245" s="60" t="n">
        <x:v>6.015473577161843</x:v>
      </x:c>
      <x:c r="D245" s="60" t="n">
        <x:v>5.052038724830628</x:v>
      </x:c>
      <x:c r="E245" s="60" t="n">
        <x:v>2.948779536591345</x:v>
      </x:c>
      <x:c r="F245" s="60" t="n">
        <x:v>6.595675110513279</x:v>
      </x:c>
      <x:c r="G245" s="60" t="n">
        <x:v>5.880000000000001</x:v>
      </x:c>
      <x:c r="H245" s="57" t="str">
        <x:v>modeled_latent_ensemble</x:v>
      </x:c>
    </x:row>
    <x:row r="246" ht="15" hidden="0" customHeight="1">
      <x:c r="A246" s="59" t="n">
        <x:v>241</x:v>
      </x:c>
      <x:c r="B246" s="59" t="n">
        <x:v>8.94664700089136</x:v>
      </x:c>
      <x:c r="C246" s="59" t="n">
        <x:v>6.052857678179887</x:v>
      </x:c>
      <x:c r="D246" s="59" t="n">
        <x:v>5.101485118270434</x:v>
      </x:c>
      <x:c r="E246" s="59" t="n">
        <x:v>2.838515331156323</x:v>
      </x:c>
      <x:c r="F246" s="59" t="n">
        <x:v>6.460494871501997</x:v>
      </x:c>
      <x:c r="G246" s="59" t="n">
        <x:v>5.880000000000001</x:v>
      </x:c>
      <x:c r="H246" s="58" t="str">
        <x:v>modeled_latent_ensemble</x:v>
      </x:c>
    </x:row>
    <x:row r="247" ht="15" hidden="0" customHeight="1">
      <x:c r="A247" s="60" t="n">
        <x:v>242</x:v>
      </x:c>
      <x:c r="B247" s="60" t="n">
        <x:v>8.80962322306187</x:v>
      </x:c>
      <x:c r="C247" s="60" t="n">
        <x:v>6.00877371923574</x:v>
      </x:c>
      <x:c r="D247" s="60" t="n">
        <x:v>5.0225703108002095</x:v>
      </x:c>
      <x:c r="E247" s="60" t="n">
        <x:v>3.151073738918021</x:v>
      </x:c>
      <x:c r="F247" s="60" t="n">
        <x:v>6.407959007984161</x:v>
      </x:c>
      <x:c r="G247" s="60" t="n">
        <x:v>5.880000000000001</x:v>
      </x:c>
      <x:c r="H247" s="57" t="str">
        <x:v>modeled_latent_ensemble</x:v>
      </x:c>
    </x:row>
    <x:row r="248" ht="15" hidden="0" customHeight="1">
      <x:c r="A248" s="59" t="n">
        <x:v>243</x:v>
      </x:c>
      <x:c r="B248" s="59" t="n">
        <x:v>8.75261866628145</x:v>
      </x:c>
      <x:c r="C248" s="59" t="n">
        <x:v>5.9076940713162855</x:v>
      </x:c>
      <x:c r="D248" s="59" t="n">
        <x:v>5.027562186792359</x:v>
      </x:c>
      <x:c r="E248" s="59" t="n">
        <x:v>3.548761055088174</x:v>
      </x:c>
      <x:c r="F248" s="59" t="n">
        <x:v>6.163364020521733</x:v>
      </x:c>
      <x:c r="G248" s="59" t="n">
        <x:v>5.880000000000001</x:v>
      </x:c>
      <x:c r="H248" s="58" t="str">
        <x:v>modeled_latent_ensemble</x:v>
      </x:c>
    </x:row>
    <x:row r="249" ht="15" hidden="0" customHeight="1">
      <x:c r="A249" s="60" t="n">
        <x:v>244</x:v>
      </x:c>
      <x:c r="B249" s="60" t="n">
        <x:v>8.878197883046276</x:v>
      </x:c>
      <x:c r="C249" s="60" t="n">
        <x:v>5.998518511916961</x:v>
      </x:c>
      <x:c r="D249" s="60" t="n">
        <x:v>5.004760060470636</x:v>
      </x:c>
      <x:c r="E249" s="60" t="n">
        <x:v>3.082626144121225</x:v>
      </x:c>
      <x:c r="F249" s="60" t="n">
        <x:v>6.435897400444903</x:v>
      </x:c>
      <x:c r="G249" s="60" t="n">
        <x:v>5.88</x:v>
      </x:c>
      <x:c r="H249" s="57" t="str">
        <x:v>modeled_latent_ensemble</x:v>
      </x:c>
    </x:row>
    <x:row r="250" ht="15" hidden="0" customHeight="1">
      <x:c r="A250" s="59" t="n">
        <x:v>245</x:v>
      </x:c>
      <x:c r="B250" s="59" t="n">
        <x:v>8.923040844397967</x:v>
      </x:c>
      <x:c r="C250" s="59" t="n">
        <x:v>5.924257329019038</x:v>
      </x:c>
      <x:c r="D250" s="59" t="n">
        <x:v>5.109078341281672</x:v>
      </x:c>
      <x:c r="E250" s="59" t="n">
        <x:v>2.883041399811405</x:v>
      </x:c>
      <x:c r="F250" s="59" t="n">
        <x:v>6.560582085489921</x:v>
      </x:c>
      <x:c r="G250" s="59" t="n">
        <x:v>5.88</x:v>
      </x:c>
      <x:c r="H250" s="58" t="str">
        <x:v>modeled_latent_ensemble</x:v>
      </x:c>
    </x:row>
    <x:row r="251" ht="15" hidden="0" customHeight="1">
      <x:c r="A251" s="60" t="n">
        <x:v>246</x:v>
      </x:c>
      <x:c r="B251" s="60" t="n">
        <x:v>9.02671904733393</x:v>
      </x:c>
      <x:c r="C251" s="60" t="n">
        <x:v>6.10597290499086</x:v>
      </x:c>
      <x:c r="D251" s="60" t="n">
        <x:v>5.175312718643195</x:v>
      </x:c>
      <x:c r="E251" s="60" t="n">
        <x:v>2.717162085212713</x:v>
      </x:c>
      <x:c r="F251" s="60" t="n">
        <x:v>6.374833243819302</x:v>
      </x:c>
      <x:c r="G251" s="60" t="n">
        <x:v>5.880000000000001</x:v>
      </x:c>
      <x:c r="H251" s="57" t="str">
        <x:v>modeled_latent_ensemble</x:v>
      </x:c>
    </x:row>
    <x:row r="252" ht="15" hidden="0" customHeight="1">
      <x:c r="A252" s="59" t="n">
        <x:v>247</x:v>
      </x:c>
      <x:c r="B252" s="59" t="n">
        <x:v>8.918371500092823</x:v>
      </x:c>
      <x:c r="C252" s="59" t="n">
        <x:v>6.110569278929502</x:v>
      </x:c>
      <x:c r="D252" s="59" t="n">
        <x:v>4.902539659900643</x:v>
      </x:c>
      <x:c r="E252" s="59" t="n">
        <x:v>3.0519995722840587</x:v>
      </x:c>
      <x:c r="F252" s="59" t="n">
        <x:v>6.416519988792975</x:v>
      </x:c>
      <x:c r="G252" s="59" t="n">
        <x:v>5.880000000000001</x:v>
      </x:c>
      <x:c r="H252" s="58" t="str">
        <x:v>modeled_latent_ensemble</x:v>
      </x:c>
    </x:row>
    <x:row r="253" ht="15" hidden="0" customHeight="1">
      <x:c r="A253" s="60" t="n">
        <x:v>248</x:v>
      </x:c>
      <x:c r="B253" s="60" t="n">
        <x:v>8.865517432649275</x:v>
      </x:c>
      <x:c r="C253" s="60" t="n">
        <x:v>5.996931679609598</x:v>
      </x:c>
      <x:c r="D253" s="60" t="n">
        <x:v>5.10087862460295</x:v>
      </x:c>
      <x:c r="E253" s="60" t="n">
        <x:v>3.0496219519686116</x:v>
      </x:c>
      <x:c r="F253" s="60" t="n">
        <x:v>6.387050311169568</x:v>
      </x:c>
      <x:c r="G253" s="60" t="n">
        <x:v>5.88</x:v>
      </x:c>
      <x:c r="H253" s="57" t="str">
        <x:v>modeled_latent_ensemble</x:v>
      </x:c>
    </x:row>
    <x:row r="254" ht="15" hidden="0" customHeight="1">
      <x:c r="A254" s="59" t="n">
        <x:v>249</x:v>
      </x:c>
      <x:c r="B254" s="59" t="n">
        <x:v>8.795813653267766</x:v>
      </x:c>
      <x:c r="C254" s="59" t="n">
        <x:v>6.059823734660836</x:v>
      </x:c>
      <x:c r="D254" s="59" t="n">
        <x:v>5.168122819350921</x:v>
      </x:c>
      <x:c r="E254" s="59" t="n">
        <x:v>3.0380560309036504</x:v>
      </x:c>
      <x:c r="F254" s="59" t="n">
        <x:v>6.338183761816828</x:v>
      </x:c>
      <x:c r="G254" s="59" t="n">
        <x:v>5.880000000000001</x:v>
      </x:c>
      <x:c r="H254" s="58" t="str">
        <x:v>modeled_latent_ensemble</x:v>
      </x:c>
    </x:row>
    <x:row r="255" ht="15" hidden="0" customHeight="1">
      <x:c r="A255" s="60" t="n">
        <x:v>250</x:v>
      </x:c>
      <x:c r="B255" s="60" t="n">
        <x:v>9.009656236525538</x:v>
      </x:c>
      <x:c r="C255" s="60" t="n">
        <x:v>5.978427016289408</x:v>
      </x:c>
      <x:c r="D255" s="60" t="n">
        <x:v>4.9638272991484955</x:v>
      </x:c>
      <x:c r="E255" s="60" t="n">
        <x:v>2.948656173089879</x:v>
      </x:c>
      <x:c r="F255" s="60" t="n">
        <x:v>6.499433274946679</x:v>
      </x:c>
      <x:c r="G255" s="60" t="n">
        <x:v>5.88</x:v>
      </x:c>
      <x:c r="H255" s="57" t="str">
        <x:v>modeled_latent_ensemble</x:v>
      </x:c>
    </x:row>
    <x:row r="256" ht="15" hidden="0" customHeight="1">
      <x:c r="A256" s="59" t="n">
        <x:v>251</x:v>
      </x:c>
      <x:c r="B256" s="59" t="n">
        <x:v>8.920103741365311</x:v>
      </x:c>
      <x:c r="C256" s="59" t="n">
        <x:v>6.004647187504801</x:v>
      </x:c>
      <x:c r="D256" s="59" t="n">
        <x:v>5.078649377931141</x:v>
      </x:c>
      <x:c r="E256" s="59" t="n">
        <x:v>2.827647761640057</x:v>
      </x:c>
      <x:c r="F256" s="59" t="n">
        <x:v>6.568951931558691</x:v>
      </x:c>
      <x:c r="G256" s="59" t="n">
        <x:v>5.880000000000001</x:v>
      </x:c>
      <x:c r="H256" s="58" t="str">
        <x:v>modeled_latent_ensemble</x:v>
      </x:c>
    </x:row>
    <x:row r="257" ht="15" hidden="0" customHeight="1">
      <x:c r="A257" s="60" t="n">
        <x:v>252</x:v>
      </x:c>
      <x:c r="B257" s="60" t="n">
        <x:v>8.830023276457162</x:v>
      </x:c>
      <x:c r="C257" s="60" t="n">
        <x:v>6.018074972413591</x:v>
      </x:c>
      <x:c r="D257" s="60" t="n">
        <x:v>5.184016806592868</x:v>
      </x:c>
      <x:c r="E257" s="60" t="n">
        <x:v>2.9934911461169302</x:v>
      </x:c>
      <x:c r="F257" s="60" t="n">
        <x:v>6.37439379841945</x:v>
      </x:c>
      <x:c r="G257" s="60" t="n">
        <x:v>5.880000000000001</x:v>
      </x:c>
      <x:c r="H257" s="57" t="str">
        <x:v>modeled_latent_ensemble</x:v>
      </x:c>
    </x:row>
    <x:row r="258" ht="15" hidden="0" customHeight="1">
      <x:c r="A258" s="59" t="n">
        <x:v>253</x:v>
      </x:c>
      <x:c r="B258" s="59" t="n">
        <x:v>8.889557377395205</x:v>
      </x:c>
      <x:c r="C258" s="59" t="n">
        <x:v>6.072369444672089</x:v>
      </x:c>
      <x:c r="D258" s="59" t="n">
        <x:v>5.1403024416199665</x:v>
      </x:c>
      <x:c r="E258" s="59" t="n">
        <x:v>2.659209686401197</x:v>
      </x:c>
      <x:c r="F258" s="59" t="n">
        <x:v>6.638561049911545</x:v>
      </x:c>
      <x:c r="G258" s="59" t="n">
        <x:v>5.880000000000001</x:v>
      </x:c>
      <x:c r="H258" s="58" t="str">
        <x:v>modeled_latent_ensemble</x:v>
      </x:c>
    </x:row>
    <x:row r="259" ht="15" hidden="0" customHeight="1">
      <x:c r="A259" s="60" t="n">
        <x:v>254</x:v>
      </x:c>
      <x:c r="B259" s="60" t="n">
        <x:v>8.871031887695304</x:v>
      </x:c>
      <x:c r="C259" s="60" t="n">
        <x:v>5.933469905127765</x:v>
      </x:c>
      <x:c r="D259" s="60" t="n">
        <x:v>5.22619145214893</x:v>
      </x:c>
      <x:c r="E259" s="60" t="n">
        <x:v>2.9089664764348093</x:v>
      </x:c>
      <x:c r="F259" s="60" t="n">
        <x:v>6.460340278593193</x:v>
      </x:c>
      <x:c r="G259" s="60" t="n">
        <x:v>5.880000000000001</x:v>
      </x:c>
      <x:c r="H259" s="57" t="str">
        <x:v>modeled_latent_ensemble</x:v>
      </x:c>
    </x:row>
    <x:row r="260" ht="15" hidden="0" customHeight="1">
      <x:c r="A260" s="59" t="n">
        <x:v>255</x:v>
      </x:c>
      <x:c r="B260" s="59" t="n">
        <x:v>8.934380764885608</x:v>
      </x:c>
      <x:c r="C260" s="59" t="n">
        <x:v>6.163938058522787</x:v>
      </x:c>
      <x:c r="D260" s="59" t="n">
        <x:v>4.987789597870099</x:v>
      </x:c>
      <x:c r="E260" s="59" t="n">
        <x:v>2.895224492858045</x:v>
      </x:c>
      <x:c r="F260" s="59" t="n">
        <x:v>6.418667085863462</x:v>
      </x:c>
      <x:c r="G260" s="59" t="n">
        <x:v>5.88</x:v>
      </x:c>
      <x:c r="H260" s="58" t="str">
        <x:v>modeled_latent_ensemble</x:v>
      </x:c>
    </x:row>
    <x:row r="261" ht="15" hidden="0" customHeight="1">
      <x:c r="A261" s="60" t="n">
        <x:v>256</x:v>
      </x:c>
      <x:c r="B261" s="60" t="n">
        <x:v>8.948189056183503</x:v>
      </x:c>
      <x:c r="C261" s="60" t="n">
        <x:v>6.0451044405204035</x:v>
      </x:c>
      <x:c r="D261" s="60" t="n">
        <x:v>4.812424169432452</x:v>
      </x:c>
      <x:c r="E261" s="60" t="n">
        <x:v>3.245129836724822</x:v>
      </x:c>
      <x:c r="F261" s="60" t="n">
        <x:v>6.34915249713882</x:v>
      </x:c>
      <x:c r="G261" s="60" t="n">
        <x:v>5.880000000000001</x:v>
      </x:c>
      <x:c r="H261" s="57" t="str">
        <x:v>modeled_latent_ensemble</x:v>
      </x:c>
    </x:row>
    <x:row r="262" ht="15" hidden="0" customHeight="1">
      <x:c r="A262" s="59" t="n">
        <x:v>257</x:v>
      </x:c>
      <x:c r="B262" s="59" t="n">
        <x:v>8.845901607960423</x:v>
      </x:c>
      <x:c r="C262" s="59" t="n">
        <x:v>6.007024465531891</x:v>
      </x:c>
      <x:c r="D262" s="59" t="n">
        <x:v>4.889615794179079</x:v>
      </x:c>
      <x:c r="E262" s="59" t="n">
        <x:v>3.4855945580695042</x:v>
      </x:c>
      <x:c r="F262" s="59" t="n">
        <x:v>6.171863574259105</x:v>
      </x:c>
      <x:c r="G262" s="59" t="n">
        <x:v>5.880000000000001</x:v>
      </x:c>
      <x:c r="H262" s="58" t="str">
        <x:v>modeled_latent_ensemble</x:v>
      </x:c>
    </x:row>
    <x:row r="263" ht="15" hidden="0" customHeight="1">
      <x:c r="A263" s="60" t="n">
        <x:v>258</x:v>
      </x:c>
      <x:c r="B263" s="60" t="n">
        <x:v>8.949597424696044</x:v>
      </x:c>
      <x:c r="C263" s="60" t="n">
        <x:v>6.041360301965562</x:v>
      </x:c>
      <x:c r="D263" s="60" t="n">
        <x:v>5.181702545524591</x:v>
      </x:c>
      <x:c r="E263" s="60" t="n">
        <x:v>2.916489273530633</x:v>
      </x:c>
      <x:c r="F263" s="60" t="n">
        <x:v>6.31085045428317</x:v>
      </x:c>
      <x:c r="G263" s="60" t="n">
        <x:v>5.88</x:v>
      </x:c>
      <x:c r="H263" s="57" t="str">
        <x:v>modeled_latent_ensemble</x:v>
      </x:c>
    </x:row>
    <x:row r="264" ht="15" hidden="0" customHeight="1">
      <x:c r="A264" s="59" t="n">
        <x:v>259</x:v>
      </x:c>
      <x:c r="B264" s="59" t="n">
        <x:v>8.834519555400584</x:v>
      </x:c>
      <x:c r="C264" s="59" t="n">
        <x:v>6.02878009963361</x:v>
      </x:c>
      <x:c r="D264" s="59" t="n">
        <x:v>5.149118223730701</x:v>
      </x:c>
      <x:c r="E264" s="59" t="n">
        <x:v>2.840005625844342</x:v>
      </x:c>
      <x:c r="F264" s="59" t="n">
        <x:v>6.547576495390763</x:v>
      </x:c>
      <x:c r="G264" s="59" t="n">
        <x:v>5.88</x:v>
      </x:c>
      <x:c r="H264" s="58" t="str">
        <x:v>modeled_latent_ensemble</x:v>
      </x:c>
    </x:row>
    <x:row r="265" ht="15" hidden="0" customHeight="1">
      <x:c r="A265" s="60" t="n">
        <x:v>260</x:v>
      </x:c>
      <x:c r="B265" s="60" t="n">
        <x:v>8.864329819879343</x:v>
      </x:c>
      <x:c r="C265" s="60" t="n">
        <x:v>6.067018283790742</x:v>
      </x:c>
      <x:c r="D265" s="60" t="n">
        <x:v>5.025928913003313</x:v>
      </x:c>
      <x:c r="E265" s="60" t="n">
        <x:v>2.8848757883555067</x:v>
      </x:c>
      <x:c r="F265" s="60" t="n">
        <x:v>6.557847194971098</x:v>
      </x:c>
      <x:c r="G265" s="60" t="n">
        <x:v>5.880000000000001</x:v>
      </x:c>
      <x:c r="H265" s="57" t="str">
        <x:v>modeled_latent_ensemble</x:v>
      </x:c>
    </x:row>
    <x:row r="266" ht="15" hidden="0" customHeight="1">
      <x:c r="A266" s="59" t="n">
        <x:v>261</x:v>
      </x:c>
      <x:c r="B266" s="59" t="n">
        <x:v>8.808704991342196</x:v>
      </x:c>
      <x:c r="C266" s="59" t="n">
        <x:v>5.914954720803767</x:v>
      </x:c>
      <x:c r="D266" s="59" t="n">
        <x:v>4.831021348948257</x:v>
      </x:c>
      <x:c r="E266" s="59" t="n">
        <x:v>3.3359279669144857</x:v>
      </x:c>
      <x:c r="F266" s="59" t="n">
        <x:v>6.509390971991296</x:v>
      </x:c>
      <x:c r="G266" s="59" t="n">
        <x:v>5.880000000000001</x:v>
      </x:c>
      <x:c r="H266" s="58" t="str">
        <x:v>modeled_latent_ensemble</x:v>
      </x:c>
    </x:row>
    <x:row r="267" ht="15" hidden="0" customHeight="1">
      <x:c r="A267" s="60" t="n">
        <x:v>262</x:v>
      </x:c>
      <x:c r="B267" s="60" t="n">
        <x:v>8.7806278288298</x:v>
      </x:c>
      <x:c r="C267" s="60" t="n">
        <x:v>5.963874553348506</x:v>
      </x:c>
      <x:c r="D267" s="60" t="n">
        <x:v>5.017903252791391</x:v>
      </x:c>
      <x:c r="E267" s="60" t="n">
        <x:v>3.2277046465380623</x:v>
      </x:c>
      <x:c r="F267" s="60" t="n">
        <x:v>6.409889718492242</x:v>
      </x:c>
      <x:c r="G267" s="60" t="n">
        <x:v>5.880000000000001</x:v>
      </x:c>
      <x:c r="H267" s="57" t="str">
        <x:v>modeled_latent_ensemble</x:v>
      </x:c>
    </x:row>
    <x:row r="268" ht="15" hidden="0" customHeight="1">
      <x:c r="A268" s="59" t="n">
        <x:v>263</x:v>
      </x:c>
      <x:c r="B268" s="59" t="n">
        <x:v>8.794771948584197</x:v>
      </x:c>
      <x:c r="C268" s="59" t="n">
        <x:v>5.969095947074248</x:v>
      </x:c>
      <x:c r="D268" s="59" t="n">
        <x:v>5.099809254506676</x:v>
      </x:c>
      <x:c r="E268" s="59" t="n">
        <x:v>2.9767098345134153</x:v>
      </x:c>
      <x:c r="F268" s="59" t="n">
        <x:v>6.5596130153214665</x:v>
      </x:c>
      <x:c r="G268" s="59" t="n">
        <x:v>5.880000000000001</x:v>
      </x:c>
      <x:c r="H268" s="58" t="str">
        <x:v>modeled_latent_ensemble</x:v>
      </x:c>
    </x:row>
    <x:row r="269" ht="15" hidden="0" customHeight="1">
      <x:c r="A269" s="60" t="n">
        <x:v>264</x:v>
      </x:c>
      <x:c r="B269" s="60" t="n">
        <x:v>8.923913530547278</x:v>
      </x:c>
      <x:c r="C269" s="60" t="n">
        <x:v>6.117366558191026</x:v>
      </x:c>
      <x:c r="D269" s="60" t="n">
        <x:v>5.063058250998335</x:v>
      </x:c>
      <x:c r="E269" s="60" t="n">
        <x:v>2.9719002112485287</x:v>
      </x:c>
      <x:c r="F269" s="60" t="n">
        <x:v>6.323761449014833</x:v>
      </x:c>
      <x:c r="G269" s="60" t="n">
        <x:v>5.88</x:v>
      </x:c>
      <x:c r="H269" s="57" t="str">
        <x:v>modeled_latent_ensemble</x:v>
      </x:c>
    </x:row>
    <x:row r="270" ht="15" hidden="0" customHeight="1">
      <x:c r="A270" s="59" t="n">
        <x:v>265</x:v>
      </x:c>
      <x:c r="B270" s="59" t="n">
        <x:v>8.868406415839742</x:v>
      </x:c>
      <x:c r="C270" s="59" t="n">
        <x:v>6.0949336304774375</x:v>
      </x:c>
      <x:c r="D270" s="59" t="n">
        <x:v>4.8762875784477675</x:v>
      </x:c>
      <x:c r="E270" s="59" t="n">
        <x:v>2.968499142216272</x:v>
      </x:c>
      <x:c r="F270" s="59" t="n">
        <x:v>6.591873233018782</x:v>
      </x:c>
      <x:c r="G270" s="59" t="n">
        <x:v>5.88</x:v>
      </x:c>
      <x:c r="H270" s="58" t="str">
        <x:v>modeled_latent_ensemble</x:v>
      </x:c>
    </x:row>
    <x:row r="271" ht="15" hidden="0" customHeight="1">
      <x:c r="A271" s="60" t="n">
        <x:v>266</x:v>
      </x:c>
      <x:c r="B271" s="60" t="n">
        <x:v>8.82736828907657</x:v>
      </x:c>
      <x:c r="C271" s="60" t="n">
        <x:v>6.0612970843641785</x:v>
      </x:c>
      <x:c r="D271" s="60" t="n">
        <x:v>5.064522701755931</x:v>
      </x:c>
      <x:c r="E271" s="60" t="n">
        <x:v>3.1485834975448155</x:v>
      </x:c>
      <x:c r="F271" s="60" t="n">
        <x:v>6.298228427258508</x:v>
      </x:c>
      <x:c r="G271" s="60" t="n">
        <x:v>5.880000000000001</x:v>
      </x:c>
      <x:c r="H271" s="57" t="str">
        <x:v>modeled_latent_ensemble</x:v>
      </x:c>
    </x:row>
    <x:row r="272" ht="15" hidden="0" customHeight="1">
      <x:c r="A272" s="59" t="n">
        <x:v>267</x:v>
      </x:c>
      <x:c r="B272" s="59" t="n">
        <x:v>8.971365452076881</x:v>
      </x:c>
      <x:c r="C272" s="59" t="n">
        <x:v>6.1366931188800935</x:v>
      </x:c>
      <x:c r="D272" s="59" t="n">
        <x:v>5.324302771242074</x:v>
      </x:c>
      <x:c r="E272" s="59" t="n">
        <x:v>2.4137565405601924</x:v>
      </x:c>
      <x:c r="F272" s="59" t="n">
        <x:v>6.55388211724076</x:v>
      </x:c>
      <x:c r="G272" s="59" t="n">
        <x:v>5.880000000000001</x:v>
      </x:c>
      <x:c r="H272" s="58" t="str">
        <x:v>modeled_latent_ensemble</x:v>
      </x:c>
    </x:row>
    <x:row r="273" ht="15" hidden="0" customHeight="1">
      <x:c r="A273" s="60" t="n">
        <x:v>268</x:v>
      </x:c>
      <x:c r="B273" s="60" t="n">
        <x:v>8.916701104369825</x:v>
      </x:c>
      <x:c r="C273" s="60" t="n">
        <x:v>6.128948662216026</x:v>
      </x:c>
      <x:c r="D273" s="60" t="n">
        <x:v>5.044279723327172</x:v>
      </x:c>
      <x:c r="E273" s="60" t="n">
        <x:v>2.876454016222944</x:v>
      </x:c>
      <x:c r="F273" s="60" t="n">
        <x:v>6.433616493864034</x:v>
      </x:c>
      <x:c r="G273" s="60" t="n">
        <x:v>5.88</x:v>
      </x:c>
      <x:c r="H273" s="57" t="str">
        <x:v>modeled_latent_ensemble</x:v>
      </x:c>
    </x:row>
    <x:row r="274" ht="15" hidden="0" customHeight="1">
      <x:c r="A274" s="59" t="n">
        <x:v>269</x:v>
      </x:c>
      <x:c r="B274" s="59" t="n">
        <x:v>8.82083126046187</x:v>
      </x:c>
      <x:c r="C274" s="59" t="n">
        <x:v>6.015934709409109</x:v>
      </x:c>
      <x:c r="D274" s="59" t="n">
        <x:v>5.0981114751183965</x:v>
      </x:c>
      <x:c r="E274" s="59" t="n">
        <x:v>3.069308900413109</x:v>
      </x:c>
      <x:c r="F274" s="59" t="n">
        <x:v>6.395813654597516</x:v>
      </x:c>
      <x:c r="G274" s="59" t="n">
        <x:v>5.88</x:v>
      </x:c>
      <x:c r="H274" s="58" t="str">
        <x:v>modeled_latent_ensemble</x:v>
      </x:c>
    </x:row>
    <x:row r="275" ht="15" hidden="0" customHeight="1">
      <x:c r="A275" s="60" t="n">
        <x:v>270</x:v>
      </x:c>
      <x:c r="B275" s="60" t="n">
        <x:v>8.937303134616712</x:v>
      </x:c>
      <x:c r="C275" s="60" t="n">
        <x:v>5.982665555824256</x:v>
      </x:c>
      <x:c r="D275" s="60" t="n">
        <x:v>5.1761391277522915</x:v>
      </x:c>
      <x:c r="E275" s="60" t="n">
        <x:v>3.107469090255411</x:v>
      </x:c>
      <x:c r="F275" s="60" t="n">
        <x:v>6.196423091551332</x:v>
      </x:c>
      <x:c r="G275" s="60" t="n">
        <x:v>5.880000000000001</x:v>
      </x:c>
      <x:c r="H275" s="57" t="str">
        <x:v>modeled_latent_ensemble</x:v>
      </x:c>
    </x:row>
    <x:row r="276" ht="15" hidden="0" customHeight="1">
      <x:c r="A276" s="59" t="n">
        <x:v>271</x:v>
      </x:c>
      <x:c r="B276" s="59" t="n">
        <x:v>8.864829086553955</x:v>
      </x:c>
      <x:c r="C276" s="59" t="n">
        <x:v>6.097905347063102</x:v>
      </x:c>
      <x:c r="D276" s="59" t="n">
        <x:v>4.96775897325437</x:v>
      </x:c>
      <x:c r="E276" s="59" t="n">
        <x:v>3.1326498205880196</x:v>
      </x:c>
      <x:c r="F276" s="59" t="n">
        <x:v>6.336856772540554</x:v>
      </x:c>
      <x:c r="G276" s="59" t="n">
        <x:v>5.880000000000001</x:v>
      </x:c>
      <x:c r="H276" s="58" t="str">
        <x:v>modeled_latent_ensemble</x:v>
      </x:c>
    </x:row>
    <x:row r="277" ht="15" hidden="0" customHeight="1">
      <x:c r="A277" s="60" t="n">
        <x:v>272</x:v>
      </x:c>
      <x:c r="B277" s="60" t="n">
        <x:v>8.860991819217055</x:v>
      </x:c>
      <x:c r="C277" s="60" t="n">
        <x:v>6.020273515134595</x:v>
      </x:c>
      <x:c r="D277" s="60" t="n">
        <x:v>5.171186830819098</x:v>
      </x:c>
      <x:c r="E277" s="60" t="n">
        <x:v>3.168185292012556</x:v>
      </x:c>
      <x:c r="F277" s="60" t="n">
        <x:v>6.179362542816698</x:v>
      </x:c>
      <x:c r="G277" s="60" t="n">
        <x:v>5.880000000000001</x:v>
      </x:c>
      <x:c r="H277" s="57" t="str">
        <x:v>modeled_latent_ensemble</x:v>
      </x:c>
    </x:row>
    <x:row r="278" ht="15" hidden="0" customHeight="1">
      <x:c r="A278" s="59" t="n">
        <x:v>273</x:v>
      </x:c>
      <x:c r="B278" s="59" t="n">
        <x:v>8.76206214796047</x:v>
      </x:c>
      <x:c r="C278" s="59" t="n">
        <x:v>5.932233495062403</x:v>
      </x:c>
      <x:c r="D278" s="59" t="n">
        <x:v>5.072310763410243</x:v>
      </x:c>
      <x:c r="E278" s="59" t="n">
        <x:v>3.054957117206658</x:v>
      </x:c>
      <x:c r="F278" s="59" t="n">
        <x:v>6.578436476360228</x:v>
      </x:c>
      <x:c r="G278" s="59" t="n">
        <x:v>5.880000000000001</x:v>
      </x:c>
      <x:c r="H278" s="58" t="str">
        <x:v>modeled_latent_ensemble</x:v>
      </x:c>
    </x:row>
    <x:row r="279" ht="15" hidden="0" customHeight="1">
      <x:c r="A279" s="60" t="n">
        <x:v>274</x:v>
      </x:c>
      <x:c r="B279" s="60" t="n">
        <x:v>8.890272254521438</x:v>
      </x:c>
      <x:c r="C279" s="60" t="n">
        <x:v>5.949131249505564</x:v>
      </x:c>
      <x:c r="D279" s="60" t="n">
        <x:v>4.982235407016101</x:v>
      </x:c>
      <x:c r="E279" s="60" t="n">
        <x:v>3.18155721260423</x:v>
      </x:c>
      <x:c r="F279" s="60" t="n">
        <x:v>6.396803876352668</x:v>
      </x:c>
      <x:c r="G279" s="60" t="n">
        <x:v>5.88</x:v>
      </x:c>
      <x:c r="H279" s="57" t="str">
        <x:v>modeled_latent_ensemble</x:v>
      </x:c>
    </x:row>
    <x:row r="280" ht="15" hidden="0" customHeight="1">
      <x:c r="A280" s="59" t="n">
        <x:v>275</x:v>
      </x:c>
      <x:c r="B280" s="59" t="n">
        <x:v>8.810176472813495</x:v>
      </x:c>
      <x:c r="C280" s="59" t="n">
        <x:v>6.059730605398817</x:v>
      </x:c>
      <x:c r="D280" s="59" t="n">
        <x:v>5.246002400967546</x:v>
      </x:c>
      <x:c r="E280" s="59" t="n">
        <x:v>2.890165232600369</x:v>
      </x:c>
      <x:c r="F280" s="59" t="n">
        <x:v>6.393925288219774</x:v>
      </x:c>
      <x:c r="G280" s="59" t="n">
        <x:v>5.880000000000001</x:v>
      </x:c>
      <x:c r="H280" s="58" t="str">
        <x:v>modeled_latent_ensemble</x:v>
      </x:c>
    </x:row>
    <x:row r="281" ht="15" hidden="0" customHeight="1">
      <x:c r="A281" s="60" t="n">
        <x:v>276</x:v>
      </x:c>
      <x:c r="B281" s="60" t="n">
        <x:v>8.983327790116373</x:v>
      </x:c>
      <x:c r="C281" s="60" t="n">
        <x:v>6.134785058126715</x:v>
      </x:c>
      <x:c r="D281" s="60" t="n">
        <x:v>5.131987958639035</x:v>
      </x:c>
      <x:c r="E281" s="60" t="n">
        <x:v>2.6156134577317807</x:v>
      </x:c>
      <x:c r="F281" s="60" t="n">
        <x:v>6.534285735386096</x:v>
      </x:c>
      <x:c r="G281" s="60" t="n">
        <x:v>5.88</x:v>
      </x:c>
      <x:c r="H281" s="57" t="str">
        <x:v>modeled_latent_ensemble</x:v>
      </x:c>
    </x:row>
    <x:row r="282" ht="15" hidden="0" customHeight="1">
      <x:c r="A282" s="59" t="n">
        <x:v>277</x:v>
      </x:c>
      <x:c r="B282" s="59" t="n">
        <x:v>8.962243760363343</x:v>
      </x:c>
      <x:c r="C282" s="59" t="n">
        <x:v>5.938964867776076</x:v>
      </x:c>
      <x:c r="D282" s="59" t="n">
        <x:v>5.019073187299858</x:v>
      </x:c>
      <x:c r="E282" s="59" t="n">
        <x:v>2.9637388635341204</x:v>
      </x:c>
      <x:c r="F282" s="59" t="n">
        <x:v>6.515979321026603</x:v>
      </x:c>
      <x:c r="G282" s="59" t="n">
        <x:v>5.88</x:v>
      </x:c>
      <x:c r="H282" s="58" t="str">
        <x:v>modeled_latent_ensemble</x:v>
      </x:c>
    </x:row>
    <x:row r="283" ht="15" hidden="0" customHeight="1">
      <x:c r="A283" s="60" t="n">
        <x:v>278</x:v>
      </x:c>
      <x:c r="B283" s="60" t="n">
        <x:v>8.737428197929006</x:v>
      </x:c>
      <x:c r="C283" s="60" t="n">
        <x:v>6.032067710821505</x:v>
      </x:c>
      <x:c r="D283" s="60" t="n">
        <x:v>5.111749710106816</x:v>
      </x:c>
      <x:c r="E283" s="60" t="n">
        <x:v>3.2259120720823784</x:v>
      </x:c>
      <x:c r="F283" s="60" t="n">
        <x:v>6.292842309060296</x:v>
      </x:c>
      <x:c r="G283" s="60" t="n">
        <x:v>5.880000000000001</x:v>
      </x:c>
      <x:c r="H283" s="57" t="str">
        <x:v>modeled_latent_ensemble</x:v>
      </x:c>
    </x:row>
    <x:row r="284" ht="15" hidden="0" customHeight="1">
      <x:c r="A284" s="59" t="n">
        <x:v>279</x:v>
      </x:c>
      <x:c r="B284" s="59" t="n">
        <x:v>8.900836721241589</x:v>
      </x:c>
      <x:c r="C284" s="59" t="n">
        <x:v>6.089736535315225</x:v>
      </x:c>
      <x:c r="D284" s="59" t="n">
        <x:v>4.97057486047795</x:v>
      </x:c>
      <x:c r="E284" s="59" t="n">
        <x:v>2.976720783530167</x:v>
      </x:c>
      <x:c r="F284" s="59" t="n">
        <x:v>6.46213109943507</x:v>
      </x:c>
      <x:c r="G284" s="59" t="n">
        <x:v>5.88</x:v>
      </x:c>
      <x:c r="H284" s="58" t="str">
        <x:v>modeled_latent_ensemble</x:v>
      </x:c>
    </x:row>
    <x:row r="285" ht="15" hidden="0" customHeight="1">
      <x:c r="A285" s="60" t="n">
        <x:v>280</x:v>
      </x:c>
      <x:c r="B285" s="60" t="n">
        <x:v>8.764645475552717</x:v>
      </x:c>
      <x:c r="C285" s="60" t="n">
        <x:v>5.936307862651328</x:v>
      </x:c>
      <x:c r="D285" s="60" t="n">
        <x:v>4.980949930884148</x:v>
      </x:c>
      <x:c r="E285" s="60" t="n">
        <x:v>3.279984800740027</x:v>
      </x:c>
      <x:c r="F285" s="60" t="n">
        <x:v>6.438111930171781</x:v>
      </x:c>
      <x:c r="G285" s="60" t="n">
        <x:v>5.88</x:v>
      </x:c>
      <x:c r="H285" s="57" t="str">
        <x:v>modeled_latent_ensemble</x:v>
      </x:c>
    </x:row>
    <x:row r="286" ht="15" hidden="0" customHeight="1">
      <x:c r="A286" s="59" t="n">
        <x:v>281</x:v>
      </x:c>
      <x:c r="B286" s="59" t="n">
        <x:v>8.879016083456918</x:v>
      </x:c>
      <x:c r="C286" s="59" t="n">
        <x:v>6.027545101036544</x:v>
      </x:c>
      <x:c r="D286" s="59" t="n">
        <x:v>5.127520208140026</x:v>
      </x:c>
      <x:c r="E286" s="59" t="n">
        <x:v>2.8379672981749526</x:v>
      </x:c>
      <x:c r="F286" s="59" t="n">
        <x:v>6.52795130919156</x:v>
      </x:c>
      <x:c r="G286" s="59" t="n">
        <x:v>5.880000000000001</x:v>
      </x:c>
      <x:c r="H286" s="58" t="str">
        <x:v>modeled_latent_ensemble</x:v>
      </x:c>
    </x:row>
    <x:row r="287" ht="15" hidden="0" customHeight="1">
      <x:c r="A287" s="60" t="n">
        <x:v>282</x:v>
      </x:c>
      <x:c r="B287" s="60" t="n">
        <x:v>8.86515279853083</x:v>
      </x:c>
      <x:c r="C287" s="60" t="n">
        <x:v>6.04164768326111</x:v>
      </x:c>
      <x:c r="D287" s="60" t="n">
        <x:v>5.119012512263153</x:v>
      </x:c>
      <x:c r="E287" s="60" t="n">
        <x:v>2.8204525285935214</x:v>
      </x:c>
      <x:c r="F287" s="60" t="n">
        <x:v>6.553734477351386</x:v>
      </x:c>
      <x:c r="G287" s="60" t="n">
        <x:v>5.880000000000001</x:v>
      </x:c>
      <x:c r="H287" s="57" t="str">
        <x:v>modeled_latent_ensemble</x:v>
      </x:c>
    </x:row>
    <x:row r="288" ht="15" hidden="0" customHeight="1">
      <x:c r="A288" s="59" t="n">
        <x:v>283</x:v>
      </x:c>
      <x:c r="B288" s="59" t="n">
        <x:v>8.899448759163404</x:v>
      </x:c>
      <x:c r="C288" s="59" t="n">
        <x:v>6.113555440413338</x:v>
      </x:c>
      <x:c r="D288" s="59" t="n">
        <x:v>5.225417813863326</x:v>
      </x:c>
      <x:c r="E288" s="59" t="n">
        <x:v>2.635448152317855</x:v>
      </x:c>
      <x:c r="F288" s="59" t="n">
        <x:v>6.526129834242079</x:v>
      </x:c>
      <x:c r="G288" s="59" t="n">
        <x:v>5.880000000000001</x:v>
      </x:c>
      <x:c r="H288" s="58" t="str">
        <x:v>modeled_latent_ensemble</x:v>
      </x:c>
    </x:row>
    <x:row r="289" ht="15" hidden="0" customHeight="1">
      <x:c r="A289" s="60" t="n">
        <x:v>284</x:v>
      </x:c>
      <x:c r="B289" s="60" t="n">
        <x:v>8.901953205772898</x:v>
      </x:c>
      <x:c r="C289" s="60" t="n">
        <x:v>5.939221578414169</x:v>
      </x:c>
      <x:c r="D289" s="60" t="n">
        <x:v>5.24789141848918</x:v>
      </x:c>
      <x:c r="E289" s="60" t="n">
        <x:v>2.834693695286184</x:v>
      </x:c>
      <x:c r="F289" s="60" t="n">
        <x:v>6.47624010203757</x:v>
      </x:c>
      <x:c r="G289" s="60" t="n">
        <x:v>5.880000000000001</x:v>
      </x:c>
      <x:c r="H289" s="57" t="str">
        <x:v>modeled_latent_ensemble</x:v>
      </x:c>
    </x:row>
    <x:row r="290" ht="15" hidden="0" customHeight="1">
      <x:c r="A290" s="59" t="n">
        <x:v>285</x:v>
      </x:c>
      <x:c r="B290" s="59" t="n">
        <x:v>9.032057165227046</x:v>
      </x:c>
      <x:c r="C290" s="59" t="n">
        <x:v>6.0717004815475795</x:v>
      </x:c>
      <x:c r="D290" s="59" t="n">
        <x:v>5.092972922424466</x:v>
      </x:c>
      <x:c r="E290" s="59" t="n">
        <x:v>2.6606244600114497</x:v>
      </x:c>
      <x:c r="F290" s="59" t="n">
        <x:v>6.5426449707894605</x:v>
      </x:c>
      <x:c r="G290" s="59" t="n">
        <x:v>5.88</x:v>
      </x:c>
      <x:c r="H290" s="58" t="str">
        <x:v>modeled_latent_ensemble</x:v>
      </x:c>
    </x:row>
    <x:row r="291" ht="15" hidden="0" customHeight="1">
      <x:c r="A291" s="60" t="n">
        <x:v>286</x:v>
      </x:c>
      <x:c r="B291" s="60" t="n">
        <x:v>8.795478533802394</x:v>
      </x:c>
      <x:c r="C291" s="60" t="n">
        <x:v>5.9277881624352355</x:v>
      </x:c>
      <x:c r="D291" s="60" t="n">
        <x:v>4.996743574335338</x:v>
      </x:c>
      <x:c r="E291" s="60" t="n">
        <x:v>3.1883969000365364</x:v>
      </x:c>
      <x:c r="F291" s="60" t="n">
        <x:v>6.491592829390497</x:v>
      </x:c>
      <x:c r="G291" s="60" t="n">
        <x:v>5.880000000000001</x:v>
      </x:c>
      <x:c r="H291" s="57" t="str">
        <x:v>modeled_latent_ensemble</x:v>
      </x:c>
    </x:row>
    <x:row r="292" ht="15" hidden="0" customHeight="1">
      <x:c r="A292" s="59" t="n">
        <x:v>287</x:v>
      </x:c>
      <x:c r="B292" s="59" t="n">
        <x:v>8.90823906211817</x:v>
      </x:c>
      <x:c r="C292" s="59" t="n">
        <x:v>5.964834298358912</x:v>
      </x:c>
      <x:c r="D292" s="59" t="n">
        <x:v>5.157555643678813</x:v>
      </x:c>
      <x:c r="E292" s="59" t="n">
        <x:v>3.0447571316592272</x:v>
      </x:c>
      <x:c r="F292" s="59" t="n">
        <x:v>6.324613864184878</x:v>
      </x:c>
      <x:c r="G292" s="59" t="n">
        <x:v>5.88</x:v>
      </x:c>
      <x:c r="H292" s="58" t="str">
        <x:v>modeled_latent_ensemble</x:v>
      </x:c>
    </x:row>
    <x:row r="293" ht="15" hidden="0" customHeight="1">
      <x:c r="A293" s="60" t="n">
        <x:v>288</x:v>
      </x:c>
      <x:c r="B293" s="60" t="n">
        <x:v>8.918177090223429</x:v>
      </x:c>
      <x:c r="C293" s="60" t="n">
        <x:v>6.105469133078514</x:v>
      </x:c>
      <x:c r="D293" s="60" t="n">
        <x:v>4.931171847226582</x:v>
      </x:c>
      <x:c r="E293" s="60" t="n">
        <x:v>3.020691094685372</x:v>
      </x:c>
      <x:c r="F293" s="60" t="n">
        <x:v>6.424490834786105</x:v>
      </x:c>
      <x:c r="G293" s="60" t="n">
        <x:v>5.880000000000001</x:v>
      </x:c>
      <x:c r="H293" s="57" t="str">
        <x:v>modeled_latent_ensemble</x:v>
      </x:c>
    </x:row>
    <x:row r="294" ht="15" hidden="0" customHeight="1">
      <x:c r="A294" s="59" t="n">
        <x:v>289</x:v>
      </x:c>
      <x:c r="B294" s="59" t="n">
        <x:v>8.800283136785865</x:v>
      </x:c>
      <x:c r="C294" s="59" t="n">
        <x:v>6.0294557476943975</x:v>
      </x:c>
      <x:c r="D294" s="59" t="n">
        <x:v>5.0418714568798295</x:v>
      </x:c>
      <x:c r="E294" s="59" t="n">
        <x:v>3.1925790202927917</x:v>
      </x:c>
      <x:c r="F294" s="59" t="n">
        <x:v>6.335810638347117</x:v>
      </x:c>
      <x:c r="G294" s="59" t="n">
        <x:v>5.880000000000001</x:v>
      </x:c>
      <x:c r="H294" s="58" t="str">
        <x:v>modeled_latent_ensemble</x:v>
      </x:c>
    </x:row>
    <x:row r="295" ht="15" hidden="0" customHeight="1">
      <x:c r="A295" s="60" t="n">
        <x:v>290</x:v>
      </x:c>
      <x:c r="B295" s="60" t="n">
        <x:v>8.889938977794182</x:v>
      </x:c>
      <x:c r="C295" s="60" t="n">
        <x:v>6.068272247366049</x:v>
      </x:c>
      <x:c r="D295" s="60" t="n">
        <x:v>4.939684643783333</x:v>
      </x:c>
      <x:c r="E295" s="60" t="n">
        <x:v>2.9590870914614107</x:v>
      </x:c>
      <x:c r="F295" s="60" t="n">
        <x:v>6.543017039595027</x:v>
      </x:c>
      <x:c r="G295" s="60" t="n">
        <x:v>5.88</x:v>
      </x:c>
      <x:c r="H295" s="57" t="str">
        <x:v>modeled_latent_ensemble</x:v>
      </x:c>
    </x:row>
    <x:row r="296" ht="15" hidden="0" customHeight="1">
      <x:c r="A296" s="59" t="n">
        <x:v>291</x:v>
      </x:c>
      <x:c r="B296" s="59" t="n">
        <x:v>8.995349192681198</x:v>
      </x:c>
      <x:c r="C296" s="59" t="n">
        <x:v>5.984900629493065</x:v>
      </x:c>
      <x:c r="D296" s="59" t="n">
        <x:v>4.956725594729553</x:v>
      </x:c>
      <x:c r="E296" s="59" t="n">
        <x:v>2.8979248773783866</x:v>
      </x:c>
      <x:c r="F296" s="59" t="n">
        <x:v>6.565099705717799</x:v>
      </x:c>
      <x:c r="G296" s="59" t="n">
        <x:v>5.880000000000001</x:v>
      </x:c>
      <x:c r="H296" s="58" t="str">
        <x:v>modeled_latent_ensemble</x:v>
      </x:c>
    </x:row>
    <x:row r="297" ht="15" hidden="0" customHeight="1">
      <x:c r="A297" s="60" t="n">
        <x:v>292</x:v>
      </x:c>
      <x:c r="B297" s="60" t="n">
        <x:v>8.835220721433181</x:v>
      </x:c>
      <x:c r="C297" s="60" t="n">
        <x:v>6.086562436688311</x:v>
      </x:c>
      <x:c r="D297" s="60" t="n">
        <x:v>5.0077820116922345</x:v>
      </x:c>
      <x:c r="E297" s="60" t="n">
        <x:v>3.000738286562312</x:v>
      </x:c>
      <x:c r="F297" s="60" t="n">
        <x:v>6.469696543623962</x:v>
      </x:c>
      <x:c r="G297" s="60" t="n">
        <x:v>5.88</x:v>
      </x:c>
      <x:c r="H297" s="57" t="str">
        <x:v>modeled_latent_ensemble</x:v>
      </x:c>
    </x:row>
    <x:row r="298" ht="15" hidden="0" customHeight="1">
      <x:c r="A298" s="59" t="n">
        <x:v>293</x:v>
      </x:c>
      <x:c r="B298" s="59" t="n">
        <x:v>8.846977834802187</x:v>
      </x:c>
      <x:c r="C298" s="59" t="n">
        <x:v>6.01480213468538</x:v>
      </x:c>
      <x:c r="D298" s="59" t="n">
        <x:v>4.970308224677088</x:v>
      </x:c>
      <x:c r="E298" s="59" t="n">
        <x:v>3.271152767888121</x:v>
      </x:c>
      <x:c r="F298" s="59" t="n">
        <x:v>6.296759037947226</x:v>
      </x:c>
      <x:c r="G298" s="59" t="n">
        <x:v>5.880000000000001</x:v>
      </x:c>
      <x:c r="H298" s="58" t="str">
        <x:v>modeled_latent_ensemble</x:v>
      </x:c>
    </x:row>
    <x:row r="299" ht="15" hidden="0" customHeight="1">
      <x:c r="A299" s="60" t="n">
        <x:v>294</x:v>
      </x:c>
      <x:c r="B299" s="60" t="n">
        <x:v>8.777643286086985</x:v>
      </x:c>
      <x:c r="C299" s="60" t="n">
        <x:v>5.992252880125024</x:v>
      </x:c>
      <x:c r="D299" s="60" t="n">
        <x:v>5.054754774943381</x:v>
      </x:c>
      <x:c r="E299" s="60" t="n">
        <x:v>3.2443256479605083</x:v>
      </x:c>
      <x:c r="F299" s="60" t="n">
        <x:v>6.331023410884104</x:v>
      </x:c>
      <x:c r="G299" s="60" t="n">
        <x:v>5.880000000000001</x:v>
      </x:c>
      <x:c r="H299" s="57" t="str">
        <x:v>modeled_latent_ensemble</x:v>
      </x:c>
    </x:row>
    <x:row r="300" ht="15" hidden="0" customHeight="1">
      <x:c r="A300" s="59" t="n">
        <x:v>295</x:v>
      </x:c>
      <x:c r="B300" s="59" t="n">
        <x:v>8.838715914903721</x:v>
      </x:c>
      <x:c r="C300" s="59" t="n">
        <x:v>5.880120944441437</x:v>
      </x:c>
      <x:c r="D300" s="59" t="n">
        <x:v>4.9595926144441576</x:v>
      </x:c>
      <x:c r="E300" s="59" t="n">
        <x:v>3.4009653946291096</x:v>
      </x:c>
      <x:c r="F300" s="59" t="n">
        <x:v>6.320605131581576</x:v>
      </x:c>
      <x:c r="G300" s="59" t="n">
        <x:v>5.880000000000001</x:v>
      </x:c>
      <x:c r="H300" s="58" t="str">
        <x:v>modeled_latent_ensemble</x:v>
      </x:c>
    </x:row>
    <x:row r="301" ht="15" hidden="0" customHeight="1">
      <x:c r="A301" s="60" t="n">
        <x:v>296</x:v>
      </x:c>
      <x:c r="B301" s="60" t="n">
        <x:v>8.912667196687861</x:v>
      </x:c>
      <x:c r="C301" s="60" t="n">
        <x:v>5.896848369900358</x:v>
      </x:c>
      <x:c r="D301" s="60" t="n">
        <x:v>5.04419362951971</x:v>
      </x:c>
      <x:c r="E301" s="60" t="n">
        <x:v>3.1172218396217897</x:v>
      </x:c>
      <x:c r="F301" s="60" t="n">
        <x:v>6.429068964270283</x:v>
      </x:c>
      <x:c r="G301" s="60" t="n">
        <x:v>5.880000000000001</x:v>
      </x:c>
      <x:c r="H301" s="57" t="str">
        <x:v>modeled_latent_ensemble</x:v>
      </x:c>
    </x:row>
    <x:row r="302" ht="15" hidden="0" customHeight="1">
      <x:c r="A302" s="59" t="n">
        <x:v>297</x:v>
      </x:c>
      <x:c r="B302" s="59" t="n">
        <x:v>8.910760740590373</x:v>
      </x:c>
      <x:c r="C302" s="59" t="n">
        <x:v>6.000588702412745</x:v>
      </x:c>
      <x:c r="D302" s="59" t="n">
        <x:v>5.127562575843627</x:v>
      </x:c>
      <x:c r="E302" s="59" t="n">
        <x:v>2.898257672275575</x:v>
      </x:c>
      <x:c r="F302" s="59" t="n">
        <x:v>6.462830308877682</x:v>
      </x:c>
      <x:c r="G302" s="59" t="n">
        <x:v>5.880000000000001</x:v>
      </x:c>
      <x:c r="H302" s="58" t="str">
        <x:v>modeled_latent_ensemble</x:v>
      </x:c>
    </x:row>
    <x:row r="303" ht="15" hidden="0" customHeight="1">
      <x:c r="A303" s="60" t="n">
        <x:v>298</x:v>
      </x:c>
      <x:c r="B303" s="60" t="n">
        <x:v>8.924675139848082</x:v>
      </x:c>
      <x:c r="C303" s="60" t="n">
        <x:v>5.973156005539143</x:v>
      </x:c>
      <x:c r="D303" s="60" t="n">
        <x:v>5.297877099044451</x:v>
      </x:c>
      <x:c r="E303" s="60" t="n">
        <x:v>2.7586605941999354</x:v>
      </x:c>
      <x:c r="F303" s="60" t="n">
        <x:v>6.44563116136839</x:v>
      </x:c>
      <x:c r="G303" s="60" t="n">
        <x:v>5.880000000000001</x:v>
      </x:c>
      <x:c r="H303" s="57" t="str">
        <x:v>modeled_latent_ensemble</x:v>
      </x:c>
    </x:row>
    <x:row r="304" ht="15" hidden="0" customHeight="1">
      <x:c r="A304" s="59" t="n">
        <x:v>299</x:v>
      </x:c>
      <x:c r="B304" s="59" t="n">
        <x:v>8.818833309738698</x:v>
      </x:c>
      <x:c r="C304" s="59" t="n">
        <x:v>6.092973618478507</x:v>
      </x:c>
      <x:c r="D304" s="59" t="n">
        <x:v>5.194694400495623</x:v>
      </x:c>
      <x:c r="E304" s="59" t="n">
        <x:v>2.9035740220953024</x:v>
      </x:c>
      <x:c r="F304" s="59" t="n">
        <x:v>6.389924649191871</x:v>
      </x:c>
      <x:c r="G304" s="59" t="n">
        <x:v>5.880000000000001</x:v>
      </x:c>
      <x:c r="H304" s="58" t="str">
        <x:v>modeled_latent_ensemble</x:v>
      </x:c>
    </x:row>
    <x:row r="305" ht="15" hidden="0" customHeight="1">
      <x:c r="A305" s="60" t="n">
        <x:v>300</x:v>
      </x:c>
      <x:c r="B305" s="60" t="n">
        <x:v>8.948211620872195</x:v>
      </x:c>
      <x:c r="C305" s="60" t="n">
        <x:v>5.95879572303017</x:v>
      </x:c>
      <x:c r="D305" s="60" t="n">
        <x:v>5.212682305379236</x:v>
      </x:c>
      <x:c r="E305" s="60" t="n">
        <x:v>2.7259973301235747</x:v>
      </x:c>
      <x:c r="F305" s="60" t="n">
        <x:v>6.554313020594825</x:v>
      </x:c>
      <x:c r="G305" s="60" t="n">
        <x:v>5.880000000000001</x:v>
      </x:c>
      <x:c r="H305" s="57" t="str">
        <x:v>modeled_latent_ensemble</x:v>
      </x:c>
    </x:row>
    <x:row r="306" ht="15" hidden="0" customHeight="1">
      <x:c r="A306" s="59" t="n">
        <x:v>301</x:v>
      </x:c>
      <x:c r="B306" s="59" t="n">
        <x:v>8.930775838371174</x:v>
      </x:c>
      <x:c r="C306" s="59" t="n">
        <x:v>5.971125535032311</x:v>
      </x:c>
      <x:c r="D306" s="59" t="n">
        <x:v>5.159210737824709</x:v>
      </x:c>
      <x:c r="E306" s="59" t="n">
        <x:v>3.065960496184648</x:v>
      </x:c>
      <x:c r="F306" s="59" t="n">
        <x:v>6.272927392587159</x:v>
      </x:c>
      <x:c r="G306" s="59" t="n">
        <x:v>5.880000000000001</x:v>
      </x:c>
      <x:c r="H306" s="58" t="str">
        <x:v>modeled_latent_ensemble</x:v>
      </x:c>
    </x:row>
    <x:row r="307" ht="15" hidden="0" customHeight="1">
      <x:c r="A307" s="60" t="n">
        <x:v>302</x:v>
      </x:c>
      <x:c r="B307" s="60" t="n">
        <x:v>8.988559404909896</x:v>
      </x:c>
      <x:c r="C307" s="60" t="n">
        <x:v>6.1566056943018035</x:v>
      </x:c>
      <x:c r="D307" s="60" t="n">
        <x:v>5.273413515681363</x:v>
      </x:c>
      <x:c r="E307" s="60" t="n">
        <x:v>2.731628717249716</x:v>
      </x:c>
      <x:c r="F307" s="60" t="n">
        <x:v>6.249792667857222</x:v>
      </x:c>
      <x:c r="G307" s="60" t="n">
        <x:v>5.88</x:v>
      </x:c>
      <x:c r="H307" s="57" t="str">
        <x:v>modeled_latent_ensemble</x:v>
      </x:c>
    </x:row>
    <x:row r="308" ht="15" hidden="0" customHeight="1">
      <x:c r="A308" s="59" t="n">
        <x:v>303</x:v>
      </x:c>
      <x:c r="B308" s="59" t="n">
        <x:v>8.784807719693974</x:v>
      </x:c>
      <x:c r="C308" s="59" t="n">
        <x:v>6.044573301573063</x:v>
      </x:c>
      <x:c r="D308" s="59" t="n">
        <x:v>5.017548818990385</x:v>
      </x:c>
      <x:c r="E308" s="59" t="n">
        <x:v>3.0551251000061734</x:v>
      </x:c>
      <x:c r="F308" s="59" t="n">
        <x:v>6.497945059736404</x:v>
      </x:c>
      <x:c r="G308" s="59" t="n">
        <x:v>5.88</x:v>
      </x:c>
      <x:c r="H308" s="58" t="str">
        <x:v>modeled_latent_ensemble</x:v>
      </x:c>
    </x:row>
    <x:row r="309" ht="15" hidden="0" customHeight="1">
      <x:c r="A309" s="60" t="n">
        <x:v>304</x:v>
      </x:c>
      <x:c r="B309" s="60" t="n">
        <x:v>8.878755981090647</x:v>
      </x:c>
      <x:c r="C309" s="60" t="n">
        <x:v>6.082851872408508</x:v>
      </x:c>
      <x:c r="D309" s="60" t="n">
        <x:v>5.151669005397171</x:v>
      </x:c>
      <x:c r="E309" s="60" t="n">
        <x:v>2.7719309636559366</x:v>
      </x:c>
      <x:c r="F309" s="60" t="n">
        <x:v>6.51479217744774</x:v>
      </x:c>
      <x:c r="G309" s="60" t="n">
        <x:v>5.880000000000001</x:v>
      </x:c>
      <x:c r="H309" s="57" t="str">
        <x:v>modeled_latent_ensemble</x:v>
      </x:c>
    </x:row>
    <x:row r="310" ht="15" hidden="0" customHeight="1">
      <x:c r="A310" s="59" t="n">
        <x:v>305</x:v>
      </x:c>
      <x:c r="B310" s="59" t="n">
        <x:v>8.986392137176528</x:v>
      </x:c>
      <x:c r="C310" s="59" t="n">
        <x:v>5.932709475126189</x:v>
      </x:c>
      <x:c r="D310" s="59" t="n">
        <x:v>5.014081563853748</x:v>
      </x:c>
      <x:c r="E310" s="59" t="n">
        <x:v>3.179412052696626</x:v>
      </x:c>
      <x:c r="F310" s="59" t="n">
        <x:v>6.28740477114691</x:v>
      </x:c>
      <x:c r="G310" s="59" t="n">
        <x:v>5.880000000000001</x:v>
      </x:c>
      <x:c r="H310" s="58" t="str">
        <x:v>modeled_latent_ensemble</x:v>
      </x:c>
    </x:row>
    <x:row r="311" ht="15" hidden="0" customHeight="1">
      <x:c r="A311" s="60" t="n">
        <x:v>306</x:v>
      </x:c>
      <x:c r="B311" s="60" t="n">
        <x:v>8.933293134139118</x:v>
      </x:c>
      <x:c r="C311" s="60" t="n">
        <x:v>6.090327139325435</x:v>
      </x:c>
      <x:c r="D311" s="60" t="n">
        <x:v>4.964949390061584</x:v>
      </x:c>
      <x:c r="E311" s="60" t="n">
        <x:v>3.0803591735202347</x:v>
      </x:c>
      <x:c r="F311" s="60" t="n">
        <x:v>6.33107116295363</x:v>
      </x:c>
      <x:c r="G311" s="60" t="n">
        <x:v>5.880000000000001</x:v>
      </x:c>
      <x:c r="H311" s="57" t="str">
        <x:v>modeled_latent_ensemble</x:v>
      </x:c>
    </x:row>
    <x:row r="312" ht="15" hidden="0" customHeight="1">
      <x:c r="A312" s="59" t="n">
        <x:v>307</x:v>
      </x:c>
      <x:c r="B312" s="59" t="n">
        <x:v>8.788499059162254</x:v>
      </x:c>
      <x:c r="C312" s="59" t="n">
        <x:v>5.984864892562015</x:v>
      </x:c>
      <x:c r="D312" s="59" t="n">
        <x:v>5.055910290490347</x:v>
      </x:c>
      <x:c r="E312" s="59" t="n">
        <x:v>3.163197144807143</x:v>
      </x:c>
      <x:c r="F312" s="59" t="n">
        <x:v>6.407528612978242</x:v>
      </x:c>
      <x:c r="G312" s="59" t="n">
        <x:v>5.88</x:v>
      </x:c>
      <x:c r="H312" s="58" t="str">
        <x:v>modeled_latent_ensemble</x:v>
      </x:c>
    </x:row>
    <x:row r="313" ht="15" hidden="0" customHeight="1">
      <x:c r="A313" s="60" t="n">
        <x:v>308</x:v>
      </x:c>
      <x:c r="B313" s="60" t="n">
        <x:v>9.004211016642683</x:v>
      </x:c>
      <x:c r="C313" s="60" t="n">
        <x:v>6.189758702089332</x:v>
      </x:c>
      <x:c r="D313" s="60" t="n">
        <x:v>5.066475196022421</x:v>
      </x:c>
      <x:c r="E313" s="60" t="n">
        <x:v>2.6061649164999197</x:v>
      </x:c>
      <x:c r="F313" s="60" t="n">
        <x:v>6.533390168745646</x:v>
      </x:c>
      <x:c r="G313" s="60" t="n">
        <x:v>5.880000000000001</x:v>
      </x:c>
      <x:c r="H313" s="57" t="str">
        <x:v>modeled_latent_ensemble</x:v>
      </x:c>
    </x:row>
    <x:row r="314" ht="15" hidden="0" customHeight="1">
      <x:c r="A314" s="59" t="n">
        <x:v>309</x:v>
      </x:c>
      <x:c r="B314" s="59" t="n">
        <x:v>8.874519358523367</x:v>
      </x:c>
      <x:c r="C314" s="59" t="n">
        <x:v>6.005697518084275</x:v>
      </x:c>
      <x:c r="D314" s="59" t="n">
        <x:v>5.287784121365586</x:v>
      </x:c>
      <x:c r="E314" s="59" t="n">
        <x:v>2.709460468110149</x:v>
      </x:c>
      <x:c r="F314" s="59" t="n">
        <x:v>6.522538533916624</x:v>
      </x:c>
      <x:c r="G314" s="59" t="n">
        <x:v>5.88</x:v>
      </x:c>
      <x:c r="H314" s="58" t="str">
        <x:v>modeled_latent_ensemble</x:v>
      </x:c>
    </x:row>
    <x:row r="315" ht="15" hidden="0" customHeight="1">
      <x:c r="A315" s="60" t="n">
        <x:v>310</x:v>
      </x:c>
      <x:c r="B315" s="60" t="n">
        <x:v>8.883600639509607</x:v>
      </x:c>
      <x:c r="C315" s="60" t="n">
        <x:v>6.012065394757428</x:v>
      </x:c>
      <x:c r="D315" s="60" t="n">
        <x:v>4.9621296994082975</x:v>
      </x:c>
      <x:c r="E315" s="60" t="n">
        <x:v>2.9453058668543974</x:v>
      </x:c>
      <x:c r="F315" s="60" t="n">
        <x:v>6.59689839947027</x:v>
      </x:c>
      <x:c r="G315" s="60" t="n">
        <x:v>5.88</x:v>
      </x:c>
      <x:c r="H315" s="57" t="str">
        <x:v>modeled_latent_ensemble</x:v>
      </x:c>
    </x:row>
    <x:row r="316" ht="15" hidden="0" customHeight="1">
      <x:c r="A316" s="59" t="n">
        <x:v>311</x:v>
      </x:c>
      <x:c r="B316" s="59" t="n">
        <x:v>8.998369347604408</x:v>
      </x:c>
      <x:c r="C316" s="59" t="n">
        <x:v>6.104581461416149</x:v>
      </x:c>
      <x:c r="D316" s="59" t="n">
        <x:v>4.990888294411793</x:v>
      </x:c>
      <x:c r="E316" s="59" t="n">
        <x:v>2.6335280693687575</x:v>
      </x:c>
      <x:c r="F316" s="59" t="n">
        <x:v>6.672632827198894</x:v>
      </x:c>
      <x:c r="G316" s="59" t="n">
        <x:v>5.880000000000001</x:v>
      </x:c>
      <x:c r="H316" s="58" t="str">
        <x:v>modeled_latent_ensemble</x:v>
      </x:c>
    </x:row>
    <x:row r="317" ht="15" hidden="0" customHeight="1">
      <x:c r="A317" s="60" t="n">
        <x:v>312</x:v>
      </x:c>
      <x:c r="B317" s="60" t="n">
        <x:v>8.841728425907327</x:v>
      </x:c>
      <x:c r="C317" s="60" t="n">
        <x:v>5.937087661894709</x:v>
      </x:c>
      <x:c r="D317" s="60" t="n">
        <x:v>4.965459829313802</x:v>
      </x:c>
      <x:c r="E317" s="60" t="n">
        <x:v>3.3750285816908767</x:v>
      </x:c>
      <x:c r="F317" s="60" t="n">
        <x:v>6.280695501193287</x:v>
      </x:c>
      <x:c r="G317" s="60" t="n">
        <x:v>5.88</x:v>
      </x:c>
      <x:c r="H317" s="57" t="str">
        <x:v>modeled_latent_ensemble</x:v>
      </x:c>
    </x:row>
    <x:row r="318" ht="15" hidden="0" customHeight="1">
      <x:c r="A318" s="59" t="n">
        <x:v>313</x:v>
      </x:c>
      <x:c r="B318" s="59" t="n">
        <x:v>8.743247402579149</x:v>
      </x:c>
      <x:c r="C318" s="59" t="n">
        <x:v>5.97468818576767</x:v>
      </x:c>
      <x:c r="D318" s="59" t="n">
        <x:v>5.095387251556618</x:v>
      </x:c>
      <x:c r="E318" s="59" t="n">
        <x:v>3.1455011537606876</x:v>
      </x:c>
      <x:c r="F318" s="59" t="n">
        <x:v>6.441176006335875</x:v>
      </x:c>
      <x:c r="G318" s="59" t="n">
        <x:v>5.88</x:v>
      </x:c>
      <x:c r="H318" s="58" t="str">
        <x:v>modeled_latent_ensemble</x:v>
      </x:c>
    </x:row>
    <x:row r="319" ht="15" hidden="0" customHeight="1">
      <x:c r="A319" s="60" t="n">
        <x:v>314</x:v>
      </x:c>
      <x:c r="B319" s="60" t="n">
        <x:v>8.916297080085034</x:v>
      </x:c>
      <x:c r="C319" s="60" t="n">
        <x:v>5.9960075099067875</x:v>
      </x:c>
      <x:c r="D319" s="60" t="n">
        <x:v>5.059722007557674</x:v>
      </x:c>
      <x:c r="E319" s="60" t="n">
        <x:v>2.8291322856937766</x:v>
      </x:c>
      <x:c r="F319" s="60" t="n">
        <x:v>6.59884111675673</x:v>
      </x:c>
      <x:c r="G319" s="60" t="n">
        <x:v>5.880000000000001</x:v>
      </x:c>
      <x:c r="H319" s="57" t="str">
        <x:v>modeled_latent_ensemble</x:v>
      </x:c>
    </x:row>
    <x:row r="320" ht="15" hidden="0" customHeight="1">
      <x:c r="A320" s="59" t="n">
        <x:v>315</x:v>
      </x:c>
      <x:c r="B320" s="59" t="n">
        <x:v>8.909847091321767</x:v>
      </x:c>
      <x:c r="C320" s="59" t="n">
        <x:v>6.124788384999268</x:v>
      </x:c>
      <x:c r="D320" s="59" t="n">
        <x:v>5.094953902253506</x:v>
      </x:c>
      <x:c r="E320" s="59" t="n">
        <x:v>2.8757911565649086</x:v>
      </x:c>
      <x:c r="F320" s="59" t="n">
        <x:v>6.394619464860552</x:v>
      </x:c>
      <x:c r="G320" s="59" t="n">
        <x:v>5.880000000000001</x:v>
      </x:c>
      <x:c r="H320" s="58" t="str">
        <x:v>modeled_latent_ensemble</x:v>
      </x:c>
    </x:row>
    <x:row r="321" ht="15" hidden="0" customHeight="1">
      <x:c r="A321" s="60" t="n">
        <x:v>316</x:v>
      </x:c>
      <x:c r="B321" s="60" t="n">
        <x:v>8.851302749711897</x:v>
      </x:c>
      <x:c r="C321" s="60" t="n">
        <x:v>6.003598818473783</x:v>
      </x:c>
      <x:c r="D321" s="60" t="n">
        <x:v>5.250152615681966</x:v>
      </x:c>
      <x:c r="E321" s="60" t="n">
        <x:v>2.904278095649757</x:v>
      </x:c>
      <x:c r="F321" s="60" t="n">
        <x:v>6.390667720482599</x:v>
      </x:c>
      <x:c r="G321" s="60" t="n">
        <x:v>5.88</x:v>
      </x:c>
      <x:c r="H321" s="57" t="str">
        <x:v>modeled_latent_ensemble</x:v>
      </x:c>
    </x:row>
    <x:row r="322" ht="15" hidden="0" customHeight="1">
      <x:c r="A322" s="59" t="n">
        <x:v>317</x:v>
      </x:c>
      <x:c r="B322" s="59" t="n">
        <x:v>8.748234460200768</x:v>
      </x:c>
      <x:c r="C322" s="59" t="n">
        <x:v>5.900401928891236</x:v>
      </x:c>
      <x:c r="D322" s="59" t="n">
        <x:v>5.057085930240051</x:v>
      </x:c>
      <x:c r="E322" s="59" t="n">
        <x:v>3.209171741724826</x:v>
      </x:c>
      <x:c r="F322" s="59" t="n">
        <x:v>6.485105938943119</x:v>
      </x:c>
      <x:c r="G322" s="59" t="n">
        <x:v>5.88</x:v>
      </x:c>
      <x:c r="H322" s="58" t="str">
        <x:v>modeled_latent_ensemble</x:v>
      </x:c>
    </x:row>
    <x:row r="323" ht="15" hidden="0" customHeight="1">
      <x:c r="A323" s="60" t="n">
        <x:v>318</x:v>
      </x:c>
      <x:c r="B323" s="60" t="n">
        <x:v>8.781682538779522</x:v>
      </x:c>
      <x:c r="C323" s="60" t="n">
        <x:v>6.1488038327465615</x:v>
      </x:c>
      <x:c r="D323" s="60" t="n">
        <x:v>5.023776745294446</x:v>
      </x:c>
      <x:c r="E323" s="60" t="n">
        <x:v>2.7824884831490975</x:v>
      </x:c>
      <x:c r="F323" s="60" t="n">
        <x:v>6.6632484000303736</x:v>
      </x:c>
      <x:c r="G323" s="60" t="n">
        <x:v>5.88</x:v>
      </x:c>
      <x:c r="H323" s="57" t="str">
        <x:v>modeled_latent_ensemble</x:v>
      </x:c>
    </x:row>
    <x:row r="324" ht="15" hidden="0" customHeight="1">
      <x:c r="A324" s="59" t="n">
        <x:v>319</x:v>
      </x:c>
      <x:c r="B324" s="59" t="n">
        <x:v>8.857978298774624</x:v>
      </x:c>
      <x:c r="C324" s="59" t="n">
        <x:v>6.041254732472616</x:v>
      </x:c>
      <x:c r="D324" s="59" t="n">
        <x:v>5.175166758309348</x:v>
      </x:c>
      <x:c r="E324" s="59" t="n">
        <x:v>2.7823327507045112</x:v>
      </x:c>
      <x:c r="F324" s="59" t="n">
        <x:v>6.543267459738902</x:v>
      </x:c>
      <x:c r="G324" s="59" t="n">
        <x:v>5.880000000000001</x:v>
      </x:c>
      <x:c r="H324" s="58" t="str">
        <x:v>modeled_latent_ensemble</x:v>
      </x:c>
    </x:row>
    <x:row r="325" ht="15" hidden="0" customHeight="1">
      <x:c r="A325" s="60" t="n">
        <x:v>320</x:v>
      </x:c>
      <x:c r="B325" s="60" t="n">
        <x:v>8.776273351314037</x:v>
      </x:c>
      <x:c r="C325" s="60" t="n">
        <x:v>5.88496217392508</x:v>
      </x:c>
      <x:c r="D325" s="60" t="n">
        <x:v>5.204723069317701</x:v>
      </x:c>
      <x:c r="E325" s="60" t="n">
        <x:v>3.196783289040322</x:v>
      </x:c>
      <x:c r="F325" s="60" t="n">
        <x:v>6.337258116402861</x:v>
      </x:c>
      <x:c r="G325" s="60" t="n">
        <x:v>5.880000000000001</x:v>
      </x:c>
      <x:c r="H325" s="57" t="str">
        <x:v>modeled_latent_ensemble</x:v>
      </x:c>
    </x:row>
    <x:row r="326" ht="15" hidden="0" customHeight="1">
      <x:c r="A326" s="59" t="n">
        <x:v>321</x:v>
      </x:c>
      <x:c r="B326" s="59" t="n">
        <x:v>9.007335640506987</x:v>
      </x:c>
      <x:c r="C326" s="59" t="n">
        <x:v>5.944094979896835</x:v>
      </x:c>
      <x:c r="D326" s="59" t="n">
        <x:v>4.95176388996071</x:v>
      </x:c>
      <x:c r="E326" s="59" t="n">
        <x:v>3.3389893130854147</x:v>
      </x:c>
      <x:c r="F326" s="59" t="n">
        <x:v>6.157816176550053</x:v>
      </x:c>
      <x:c r="G326" s="59" t="n">
        <x:v>5.88</x:v>
      </x:c>
      <x:c r="H326" s="58" t="str">
        <x:v>modeled_latent_ensemble</x:v>
      </x:c>
    </x:row>
    <x:row r="327" ht="15" hidden="0" customHeight="1">
      <x:c r="A327" s="60" t="n">
        <x:v>322</x:v>
      </x:c>
      <x:c r="B327" s="60" t="n">
        <x:v>8.913411585586932</x:v>
      </x:c>
      <x:c r="C327" s="60" t="n">
        <x:v>6.004443334939312</x:v>
      </x:c>
      <x:c r="D327" s="60" t="n">
        <x:v>5.235996702664082</x:v>
      </x:c>
      <x:c r="E327" s="60" t="n">
        <x:v>2.6775979220722057</x:v>
      </x:c>
      <x:c r="F327" s="60" t="n">
        <x:v>6.56855045473747</x:v>
      </x:c>
      <x:c r="G327" s="60" t="n">
        <x:v>5.880000000000001</x:v>
      </x:c>
      <x:c r="H327" s="57" t="str">
        <x:v>modeled_latent_ensemble</x:v>
      </x:c>
    </x:row>
    <x:row r="328" ht="15" hidden="0" customHeight="1">
      <x:c r="A328" s="59" t="n">
        <x:v>323</x:v>
      </x:c>
      <x:c r="B328" s="59" t="n">
        <x:v>8.915863029997556</x:v>
      </x:c>
      <x:c r="C328" s="59" t="n">
        <x:v>6.066216042653453</x:v>
      </x:c>
      <x:c r="D328" s="59" t="n">
        <x:v>4.889069661099018</x:v>
      </x:c>
      <x:c r="E328" s="59" t="n">
        <x:v>3.067100273371172</x:v>
      </x:c>
      <x:c r="F328" s="59" t="n">
        <x:v>6.461750992878802</x:v>
      </x:c>
      <x:c r="G328" s="59" t="n">
        <x:v>5.88</x:v>
      </x:c>
      <x:c r="H328" s="58" t="str">
        <x:v>modeled_latent_ensemble</x:v>
      </x:c>
    </x:row>
    <x:row r="329" ht="15" hidden="0" customHeight="1">
      <x:c r="A329" s="60" t="n">
        <x:v>324</x:v>
      </x:c>
      <x:c r="B329" s="60" t="n">
        <x:v>8.856822185178295</x:v>
      </x:c>
      <x:c r="C329" s="60" t="n">
        <x:v>5.919613858010594</x:v>
      </x:c>
      <x:c r="D329" s="60" t="n">
        <x:v>4.9844633012064685</x:v>
      </x:c>
      <x:c r="E329" s="60" t="n">
        <x:v>3.13748833619373</x:v>
      </x:c>
      <x:c r="F329" s="60" t="n">
        <x:v>6.501612319410914</x:v>
      </x:c>
      <x:c r="G329" s="60" t="n">
        <x:v>5.880000000000001</x:v>
      </x:c>
      <x:c r="H329" s="57" t="str">
        <x:v>modeled_latent_ensemble</x:v>
      </x:c>
    </x:row>
    <x:row r="330" ht="15" hidden="0" customHeight="1">
      <x:c r="A330" s="59" t="n">
        <x:v>325</x:v>
      </x:c>
      <x:c r="B330" s="59" t="n">
        <x:v>8.923670975816755</x:v>
      </x:c>
      <x:c r="C330" s="59" t="n">
        <x:v>6.1655322706138245</x:v>
      </x:c>
      <x:c r="D330" s="59" t="n">
        <x:v>5.10209221017545</x:v>
      </x:c>
      <x:c r="E330" s="59" t="n">
        <x:v>2.850568248422327</x:v>
      </x:c>
      <x:c r="F330" s="59" t="n">
        <x:v>6.358136294971645</x:v>
      </x:c>
      <x:c r="G330" s="59" t="n">
        <x:v>5.88</x:v>
      </x:c>
      <x:c r="H330" s="58" t="str">
        <x:v>modeled_latent_ensemble</x:v>
      </x:c>
    </x:row>
    <x:row r="331" ht="15" hidden="0" customHeight="1">
      <x:c r="A331" s="60" t="n">
        <x:v>326</x:v>
      </x:c>
      <x:c r="B331" s="60" t="n">
        <x:v>9.009201860422273</x:v>
      </x:c>
      <x:c r="C331" s="60" t="n">
        <x:v>6.184089180723187</x:v>
      </x:c>
      <x:c r="D331" s="60" t="n">
        <x:v>5.076708250103652</x:v>
      </x:c>
      <x:c r="E331" s="60" t="n">
        <x:v>2.757531165784414</x:v>
      </x:c>
      <x:c r="F331" s="60" t="n">
        <x:v>6.372469542966476</x:v>
      </x:c>
      <x:c r="G331" s="60" t="n">
        <x:v>5.880000000000001</x:v>
      </x:c>
      <x:c r="H331" s="57" t="str">
        <x:v>modeled_latent_ensemble</x:v>
      </x:c>
    </x:row>
    <x:row r="332" ht="15" hidden="0" customHeight="1">
      <x:c r="A332" s="59" t="n">
        <x:v>327</x:v>
      </x:c>
      <x:c r="B332" s="59" t="n">
        <x:v>8.896681499911699</x:v>
      </x:c>
      <x:c r="C332" s="59" t="n">
        <x:v>6.032189183463976</x:v>
      </x:c>
      <x:c r="D332" s="59" t="n">
        <x:v>5.010499154245171</x:v>
      </x:c>
      <x:c r="E332" s="59" t="n">
        <x:v>3.0303936794912945</x:v>
      </x:c>
      <x:c r="F332" s="59" t="n">
        <x:v>6.43023648288786</x:v>
      </x:c>
      <x:c r="G332" s="59" t="n">
        <x:v>5.88</x:v>
      </x:c>
      <x:c r="H332" s="58" t="str">
        <x:v>modeled_latent_ensemble</x:v>
      </x:c>
    </x:row>
    <x:row r="333" ht="15" hidden="0" customHeight="1">
      <x:c r="A333" s="60" t="n">
        <x:v>328</x:v>
      </x:c>
      <x:c r="B333" s="60" t="n">
        <x:v>8.90057376114051</x:v>
      </x:c>
      <x:c r="C333" s="60" t="n">
        <x:v>6.036382586386897</x:v>
      </x:c>
      <x:c r="D333" s="60" t="n">
        <x:v>4.846077781895021</x:v>
      </x:c>
      <x:c r="E333" s="60" t="n">
        <x:v>3.260332283206279</x:v>
      </x:c>
      <x:c r="F333" s="60" t="n">
        <x:v>6.356633587371294</x:v>
      </x:c>
      <x:c r="G333" s="60" t="n">
        <x:v>5.88</x:v>
      </x:c>
      <x:c r="H333" s="57" t="str">
        <x:v>modeled_latent_ensemble</x:v>
      </x:c>
    </x:row>
    <x:row r="334" ht="15" hidden="0" customHeight="1">
      <x:c r="A334" s="59" t="n">
        <x:v>329</x:v>
      </x:c>
      <x:c r="B334" s="59" t="n">
        <x:v>8.951828325658159</x:v>
      </x:c>
      <x:c r="C334" s="59" t="n">
        <x:v>6.106295246929439</x:v>
      </x:c>
      <x:c r="D334" s="59" t="n">
        <x:v>5.176984045259196</x:v>
      </x:c>
      <x:c r="E334" s="59" t="n">
        <x:v>2.7923481330591207</x:v>
      </x:c>
      <x:c r="F334" s="59" t="n">
        <x:v>6.372544249094085</x:v>
      </x:c>
      <x:c r="G334" s="59" t="n">
        <x:v>5.88</x:v>
      </x:c>
      <x:c r="H334" s="58" t="str">
        <x:v>modeled_latent_ensemble</x:v>
      </x:c>
    </x:row>
    <x:row r="335" ht="15" hidden="0" customHeight="1">
      <x:c r="A335" s="60" t="n">
        <x:v>330</x:v>
      </x:c>
      <x:c r="B335" s="60" t="n">
        <x:v>8.810796264402505</x:v>
      </x:c>
      <x:c r="C335" s="60" t="n">
        <x:v>5.975229319616616</x:v>
      </x:c>
      <x:c r="D335" s="60" t="n">
        <x:v>4.929381284305263</x:v>
      </x:c>
      <x:c r="E335" s="60" t="n">
        <x:v>3.2346453970663975</x:v>
      </x:c>
      <x:c r="F335" s="60" t="n">
        <x:v>6.4499477346092196</x:v>
      </x:c>
      <x:c r="G335" s="60" t="n">
        <x:v>5.880000000000001</x:v>
      </x:c>
      <x:c r="H335" s="57" t="str">
        <x:v>modeled_latent_ensemble</x:v>
      </x:c>
    </x:row>
    <x:row r="336" ht="15" hidden="0" customHeight="1">
      <x:c r="A336" s="59" t="n">
        <x:v>331</x:v>
      </x:c>
      <x:c r="B336" s="59" t="n">
        <x:v>8.911121869834075</x:v>
      </x:c>
      <x:c r="C336" s="59" t="n">
        <x:v>6.1930536301711685</x:v>
      </x:c>
      <x:c r="D336" s="59" t="n">
        <x:v>5.20497234708878</x:v>
      </x:c>
      <x:c r="E336" s="59" t="n">
        <x:v>2.8424420250795133</x:v>
      </x:c>
      <x:c r="F336" s="59" t="n">
        <x:v>6.248410127826465</x:v>
      </x:c>
      <x:c r="G336" s="59" t="n">
        <x:v>5.880000000000001</x:v>
      </x:c>
      <x:c r="H336" s="58" t="str">
        <x:v>modeled_latent_ensemble</x:v>
      </x:c>
    </x:row>
    <x:row r="337" ht="15" hidden="0" customHeight="1">
      <x:c r="A337" s="60" t="n">
        <x:v>332</x:v>
      </x:c>
      <x:c r="B337" s="60" t="n">
        <x:v>8.784748067253162</x:v>
      </x:c>
      <x:c r="C337" s="60" t="n">
        <x:v>5.93284540495964</x:v>
      </x:c>
      <x:c r="D337" s="60" t="n">
        <x:v>4.909337419261593</x:v>
      </x:c>
      <x:c r="E337" s="60" t="n">
        <x:v>3.279549009523668</x:v>
      </x:c>
      <x:c r="F337" s="60" t="n">
        <x:v>6.493520099001938</x:v>
      </x:c>
      <x:c r="G337" s="60" t="n">
        <x:v>5.88</x:v>
      </x:c>
      <x:c r="H337" s="57" t="str">
        <x:v>modeled_latent_ensemble</x:v>
      </x:c>
    </x:row>
    <x:row r="338" ht="15" hidden="0" customHeight="1">
      <x:c r="A338" s="59" t="n">
        <x:v>333</x:v>
      </x:c>
      <x:c r="B338" s="59" t="n">
        <x:v>8.891260634385498</x:v>
      </x:c>
      <x:c r="C338" s="59" t="n">
        <x:v>5.9345619936963</x:v>
      </x:c>
      <x:c r="D338" s="59" t="n">
        <x:v>5.009463451946048</x:v>
      </x:c>
      <x:c r="E338" s="59" t="n">
        <x:v>3.174542288642695</x:v>
      </x:c>
      <x:c r="F338" s="59" t="n">
        <x:v>6.390171631329459</x:v>
      </x:c>
      <x:c r="G338" s="59" t="n">
        <x:v>5.88</x:v>
      </x:c>
      <x:c r="H338" s="58" t="str">
        <x:v>modeled_latent_ensemble</x:v>
      </x:c>
    </x:row>
    <x:row r="339" ht="15" hidden="0" customHeight="1">
      <x:c r="A339" s="60" t="n">
        <x:v>334</x:v>
      </x:c>
      <x:c r="B339" s="60" t="n">
        <x:v>8.880588006180917</x:v>
      </x:c>
      <x:c r="C339" s="60" t="n">
        <x:v>5.992622674942491</x:v>
      </x:c>
      <x:c r="D339" s="60" t="n">
        <x:v>4.980684204044752</x:v>
      </x:c>
      <x:c r="E339" s="60" t="n">
        <x:v>3.218920671290013</x:v>
      </x:c>
      <x:c r="F339" s="60" t="n">
        <x:v>6.327184443541829</x:v>
      </x:c>
      <x:c r="G339" s="60" t="n">
        <x:v>5.880000000000001</x:v>
      </x:c>
      <x:c r="H339" s="57" t="str">
        <x:v>modeled_latent_ensemble</x:v>
      </x:c>
    </x:row>
    <x:row r="340" ht="15" hidden="0" customHeight="1">
      <x:c r="A340" s="59" t="n">
        <x:v>335</x:v>
      </x:c>
      <x:c r="B340" s="59" t="n">
        <x:v>8.799646352983507</x:v>
      </x:c>
      <x:c r="C340" s="59" t="n">
        <x:v>6.034729006895923</x:v>
      </x:c>
      <x:c r="D340" s="59" t="n">
        <x:v>4.90578745062388</x:v>
      </x:c>
      <x:c r="E340" s="59" t="n">
        <x:v>3.218027676339669</x:v>
      </x:c>
      <x:c r="F340" s="59" t="n">
        <x:v>6.441809513157023</x:v>
      </x:c>
      <x:c r="G340" s="59" t="n">
        <x:v>5.880000000000001</x:v>
      </x:c>
      <x:c r="H340" s="58" t="str">
        <x:v>modeled_latent_ensemble</x:v>
      </x:c>
    </x:row>
    <x:row r="341" ht="15" hidden="0" customHeight="1">
      <x:c r="A341" s="60" t="n">
        <x:v>336</x:v>
      </x:c>
      <x:c r="B341" s="60" t="n">
        <x:v>8.895529794077966</x:v>
      </x:c>
      <x:c r="C341" s="60" t="n">
        <x:v>6.10712402802275</x:v>
      </x:c>
      <x:c r="D341" s="60" t="n">
        <x:v>5.0113463481891065</x:v>
      </x:c>
      <x:c r="E341" s="60" t="n">
        <x:v>2.929460206850423</x:v>
      </x:c>
      <x:c r="F341" s="60" t="n">
        <x:v>6.456539622859756</x:v>
      </x:c>
      <x:c r="G341" s="60" t="n">
        <x:v>5.88</x:v>
      </x:c>
      <x:c r="H341" s="57" t="str">
        <x:v>modeled_latent_ensemble</x:v>
      </x:c>
    </x:row>
    <x:row r="342" ht="15" hidden="0" customHeight="1">
      <x:c r="A342" s="59" t="n">
        <x:v>337</x:v>
      </x:c>
      <x:c r="B342" s="59" t="n">
        <x:v>8.752494415573208</x:v>
      </x:c>
      <x:c r="C342" s="59" t="n">
        <x:v>5.893708739864406</x:v>
      </x:c>
      <x:c r="D342" s="59" t="n">
        <x:v>5.02612960675027</x:v>
      </x:c>
      <x:c r="E342" s="59" t="n">
        <x:v>3.4802486635103422</x:v>
      </x:c>
      <x:c r="F342" s="59" t="n">
        <x:v>6.247418574301774</x:v>
      </x:c>
      <x:c r="G342" s="59" t="n">
        <x:v>5.88</x:v>
      </x:c>
      <x:c r="H342" s="58" t="str">
        <x:v>modeled_latent_ensemble</x:v>
      </x:c>
    </x:row>
    <x:row r="343" ht="15" hidden="0" customHeight="1">
      <x:c r="A343" s="60" t="n">
        <x:v>338</x:v>
      </x:c>
      <x:c r="B343" s="60" t="n">
        <x:v>8.754520806065559</x:v>
      </x:c>
      <x:c r="C343" s="60" t="n">
        <x:v>5.964169420314499</x:v>
      </x:c>
      <x:c r="D343" s="60" t="n">
        <x:v>5.2553671141387115</x:v>
      </x:c>
      <x:c r="E343" s="60" t="n">
        <x:v>2.87664518001494</x:v>
      </x:c>
      <x:c r="F343" s="60" t="n">
        <x:v>6.549297479466292</x:v>
      </x:c>
      <x:c r="G343" s="60" t="n">
        <x:v>5.88</x:v>
      </x:c>
      <x:c r="H343" s="57" t="str">
        <x:v>modeled_latent_ensemble</x:v>
      </x:c>
    </x:row>
    <x:row r="344" ht="15" hidden="0" customHeight="1">
      <x:c r="A344" s="59" t="n">
        <x:v>339</x:v>
      </x:c>
      <x:c r="B344" s="59" t="n">
        <x:v>8.796057042322506</x:v>
      </x:c>
      <x:c r="C344" s="59" t="n">
        <x:v>5.9371988287135755</x:v>
      </x:c>
      <x:c r="D344" s="59" t="n">
        <x:v>4.989981024713515</x:v>
      </x:c>
      <x:c r="E344" s="59" t="n">
        <x:v>3.4127569106996147</x:v>
      </x:c>
      <x:c r="F344" s="59" t="n">
        <x:v>6.264006193550789</x:v>
      </x:c>
      <x:c r="G344" s="59" t="n">
        <x:v>5.88</x:v>
      </x:c>
      <x:c r="H344" s="58" t="str">
        <x:v>modeled_latent_ensemble</x:v>
      </x:c>
    </x:row>
    <x:row r="345" ht="15" hidden="0" customHeight="1">
      <x:c r="A345" s="60" t="n">
        <x:v>340</x:v>
      </x:c>
      <x:c r="B345" s="60" t="n">
        <x:v>8.901899484230427</x:v>
      </x:c>
      <x:c r="C345" s="60" t="n">
        <x:v>5.871718085366097</x:v>
      </x:c>
      <x:c r="D345" s="60" t="n">
        <x:v>5.052090790254767</x:v>
      </x:c>
      <x:c r="E345" s="60" t="n">
        <x:v>3.2122256040343076</x:v>
      </x:c>
      <x:c r="F345" s="60" t="n">
        <x:v>6.362066036114404</x:v>
      </x:c>
      <x:c r="G345" s="60" t="n">
        <x:v>5.880000000000001</x:v>
      </x:c>
      <x:c r="H345" s="57" t="str">
        <x:v>modeled_latent_ensemble</x:v>
      </x:c>
    </x:row>
    <x:row r="346" ht="15" hidden="0" customHeight="1">
      <x:c r="A346" s="59" t="n">
        <x:v>341</x:v>
      </x:c>
      <x:c r="B346" s="59" t="n">
        <x:v>8.733812511131706</x:v>
      </x:c>
      <x:c r="C346" s="59" t="n">
        <x:v>5.918469551584079</x:v>
      </x:c>
      <x:c r="D346" s="59" t="n">
        <x:v>4.986701224502482</x:v>
      </x:c>
      <x:c r="E346" s="59" t="n">
        <x:v>3.3244119851136755</x:v>
      </x:c>
      <x:c r="F346" s="59" t="n">
        <x:v>6.436604727668057</x:v>
      </x:c>
      <x:c r="G346" s="59" t="n">
        <x:v>5.880000000000001</x:v>
      </x:c>
      <x:c r="H346" s="58" t="str">
        <x:v>modeled_latent_ensemble</x:v>
      </x:c>
    </x:row>
    <x:row r="347" ht="15" hidden="0" customHeight="1">
      <x:c r="A347" s="60" t="n">
        <x:v>342</x:v>
      </x:c>
      <x:c r="B347" s="60" t="n">
        <x:v>8.83109755924166</x:v>
      </x:c>
      <x:c r="C347" s="60" t="n">
        <x:v>5.958681572310717</x:v>
      </x:c>
      <x:c r="D347" s="60" t="n">
        <x:v>4.858088795973238</x:v>
      </x:c>
      <x:c r="E347" s="60" t="n">
        <x:v>3.253434155541776</x:v>
      </x:c>
      <x:c r="F347" s="60" t="n">
        <x:v>6.498697916932611</x:v>
      </x:c>
      <x:c r="G347" s="60" t="n">
        <x:v>5.880000000000001</x:v>
      </x:c>
      <x:c r="H347" s="57" t="str">
        <x:v>modeled_latent_ensemble</x:v>
      </x:c>
    </x:row>
    <x:row r="348" ht="15" hidden="0" customHeight="1">
      <x:c r="A348" s="59" t="n">
        <x:v>343</x:v>
      </x:c>
      <x:c r="B348" s="59" t="n">
        <x:v>8.819102100034538</x:v>
      </x:c>
      <x:c r="C348" s="59" t="n">
        <x:v>6.030857648849626</x:v>
      </x:c>
      <x:c r="D348" s="59" t="n">
        <x:v>4.9512522402693975</x:v>
      </x:c>
      <x:c r="E348" s="59" t="n">
        <x:v>3.279690120021068</x:v>
      </x:c>
      <x:c r="F348" s="59" t="n">
        <x:v>6.319097890825373</x:v>
      </x:c>
      <x:c r="G348" s="59" t="n">
        <x:v>5.880000000000001</x:v>
      </x:c>
      <x:c r="H348" s="58" t="str">
        <x:v>modeled_latent_ensemble</x:v>
      </x:c>
    </x:row>
    <x:row r="349" ht="15" hidden="0" customHeight="1">
      <x:c r="A349" s="60" t="n">
        <x:v>344</x:v>
      </x:c>
      <x:c r="B349" s="60" t="n">
        <x:v>8.804390451241286</x:v>
      </x:c>
      <x:c r="C349" s="60" t="n">
        <x:v>6.1000244458863335</x:v>
      </x:c>
      <x:c r="D349" s="60" t="n">
        <x:v>5.154448700702423</x:v>
      </x:c>
      <x:c r="E349" s="60" t="n">
        <x:v>3.0187421638630294</x:v>
      </x:c>
      <x:c r="F349" s="60" t="n">
        <x:v>6.32239423830693</x:v>
      </x:c>
      <x:c r="G349" s="60" t="n">
        <x:v>5.880000000000001</x:v>
      </x:c>
      <x:c r="H349" s="57" t="str">
        <x:v>modeled_latent_ensemble</x:v>
      </x:c>
    </x:row>
    <x:row r="350" ht="15" hidden="0" customHeight="1">
      <x:c r="A350" s="59" t="n">
        <x:v>345</x:v>
      </x:c>
      <x:c r="B350" s="59" t="n">
        <x:v>9.023331301128422</x:v>
      </x:c>
      <x:c r="C350" s="59" t="n">
        <x:v>6.041261675928117</x:v>
      </x:c>
      <x:c r="D350" s="59" t="n">
        <x:v>5.234464799857463</x:v>
      </x:c>
      <x:c r="E350" s="59" t="n">
        <x:v>2.6816461960408073</x:v>
      </x:c>
      <x:c r="F350" s="59" t="n">
        <x:v>6.419296027045192</x:v>
      </x:c>
      <x:c r="G350" s="59" t="n">
        <x:v>5.88</x:v>
      </x:c>
      <x:c r="H350" s="58" t="str">
        <x:v>modeled_latent_ensemble</x:v>
      </x:c>
    </x:row>
    <x:row r="351" ht="15" hidden="0" customHeight="1">
      <x:c r="A351" s="60" t="n">
        <x:v>346</x:v>
      </x:c>
      <x:c r="B351" s="60" t="n">
        <x:v>8.881437790160678</x:v>
      </x:c>
      <x:c r="C351" s="60" t="n">
        <x:v>5.968926655135839</x:v>
      </x:c>
      <x:c r="D351" s="60" t="n">
        <x:v>4.984298443271565</x:v>
      </x:c>
      <x:c r="E351" s="60" t="n">
        <x:v>3.068200834244156</x:v>
      </x:c>
      <x:c r="F351" s="60" t="n">
        <x:v>6.497136277187764</x:v>
      </x:c>
      <x:c r="G351" s="60" t="n">
        <x:v>5.880000000000001</x:v>
      </x:c>
      <x:c r="H351" s="57" t="str">
        <x:v>modeled_latent_ensemble</x:v>
      </x:c>
    </x:row>
    <x:row r="352" ht="15" hidden="0" customHeight="1">
      <x:c r="A352" s="59" t="n">
        <x:v>347</x:v>
      </x:c>
      <x:c r="B352" s="59" t="n">
        <x:v>9.013767501772044</x:v>
      </x:c>
      <x:c r="C352" s="59" t="n">
        <x:v>6.020290184585807</x:v>
      </x:c>
      <x:c r="D352" s="59" t="n">
        <x:v>5.2168820052678155</x:v>
      </x:c>
      <x:c r="E352" s="59" t="n">
        <x:v>2.838910190437477</x:v>
      </x:c>
      <x:c r="F352" s="59" t="n">
        <x:v>6.310150117936857</x:v>
      </x:c>
      <x:c r="G352" s="59" t="n">
        <x:v>5.880000000000001</x:v>
      </x:c>
      <x:c r="H352" s="58" t="str">
        <x:v>modeled_latent_ensemble</x:v>
      </x:c>
    </x:row>
    <x:row r="353" ht="15" hidden="0" customHeight="1">
      <x:c r="A353" s="60" t="n">
        <x:v>348</x:v>
      </x:c>
      <x:c r="B353" s="60" t="n">
        <x:v>8.836532743876134</x:v>
      </x:c>
      <x:c r="C353" s="60" t="n">
        <x:v>5.955745405186391</x:v>
      </x:c>
      <x:c r="D353" s="60" t="n">
        <x:v>4.901865913735887</x:v>
      </x:c>
      <x:c r="E353" s="60" t="n">
        <x:v>3.1549961398699478</x:v>
      </x:c>
      <x:c r="F353" s="60" t="n">
        <x:v>6.550859797331642</x:v>
      </x:c>
      <x:c r="G353" s="60" t="n">
        <x:v>5.88</x:v>
      </x:c>
      <x:c r="H353" s="57" t="str">
        <x:v>modeled_latent_ensemble</x:v>
      </x:c>
    </x:row>
    <x:row r="354" ht="15" hidden="0" customHeight="1">
      <x:c r="A354" s="59" t="n">
        <x:v>349</x:v>
      </x:c>
      <x:c r="B354" s="59" t="n">
        <x:v>9.03437169726949</x:v>
      </x:c>
      <x:c r="C354" s="59" t="n">
        <x:v>5.984704187580823</x:v>
      </x:c>
      <x:c r="D354" s="59" t="n">
        <x:v>5.137428439869155</x:v>
      </x:c>
      <x:c r="E354" s="59" t="n">
        <x:v>2.8420677744935388</x:v>
      </x:c>
      <x:c r="F354" s="59" t="n">
        <x:v>6.401427900786994</x:v>
      </x:c>
      <x:c r="G354" s="59" t="n">
        <x:v>5.880000000000001</x:v>
      </x:c>
      <x:c r="H354" s="58" t="str">
        <x:v>modeled_latent_ensemble</x:v>
      </x:c>
    </x:row>
    <x:row r="355" ht="15" hidden="0" customHeight="1">
      <x:c r="A355" s="60" t="n">
        <x:v>350</x:v>
      </x:c>
      <x:c r="B355" s="60" t="n">
        <x:v>8.907873125764683</x:v>
      </x:c>
      <x:c r="C355" s="60" t="n">
        <x:v>6.0146033947189075</x:v>
      </x:c>
      <x:c r="D355" s="60" t="n">
        <x:v>5.055588463292871</x:v>
      </x:c>
      <x:c r="E355" s="60" t="n">
        <x:v>3.0538709272817948</x:v>
      </x:c>
      <x:c r="F355" s="60" t="n">
        <x:v>6.368064088941744</x:v>
      </x:c>
      <x:c r="G355" s="60" t="n">
        <x:v>5.880000000000001</x:v>
      </x:c>
      <x:c r="H355" s="57" t="str">
        <x:v>modeled_latent_ensemble</x:v>
      </x:c>
    </x:row>
    <x:row r="356" ht="15" hidden="0" customHeight="1">
      <x:c r="A356" s="59" t="n">
        <x:v>351</x:v>
      </x:c>
      <x:c r="B356" s="59" t="n">
        <x:v>8.833193957648001</x:v>
      </x:c>
      <x:c r="C356" s="59" t="n">
        <x:v>6.076276065348289</x:v>
      </x:c>
      <x:c r="D356" s="59" t="n">
        <x:v>5.30070811088109</x:v>
      </x:c>
      <x:c r="E356" s="59" t="n">
        <x:v>2.6358569218748875</x:v>
      </x:c>
      <x:c r="F356" s="59" t="n">
        <x:v>6.553964944247733</x:v>
      </x:c>
      <x:c r="G356" s="59" t="n">
        <x:v>5.88</x:v>
      </x:c>
      <x:c r="H356" s="58" t="str">
        <x:v>modeled_latent_ensemble</x:v>
      </x:c>
    </x:row>
    <x:row r="357" ht="15" hidden="0" customHeight="1">
      <x:c r="A357" s="60" t="n">
        <x:v>352</x:v>
      </x:c>
      <x:c r="B357" s="60" t="n">
        <x:v>8.765675790559081</x:v>
      </x:c>
      <x:c r="C357" s="60" t="n">
        <x:v>6.066127380989998</x:v>
      </x:c>
      <x:c r="D357" s="60" t="n">
        <x:v>5.165069139133074</x:v>
      </x:c>
      <x:c r="E357" s="60" t="n">
        <x:v>2.84619641091955</x:v>
      </x:c>
      <x:c r="F357" s="60" t="n">
        <x:v>6.556931278398299</x:v>
      </x:c>
      <x:c r="G357" s="60" t="n">
        <x:v>5.880000000000001</x:v>
      </x:c>
      <x:c r="H357" s="57" t="str">
        <x:v>modeled_latent_ensemble</x:v>
      </x:c>
    </x:row>
    <x:row r="358" ht="15" hidden="0" customHeight="1">
      <x:c r="A358" s="59" t="n">
        <x:v>353</x:v>
      </x:c>
      <x:c r="B358" s="59" t="n">
        <x:v>9.036441948413325</x:v>
      </x:c>
      <x:c r="C358" s="59" t="n">
        <x:v>6.128968286312992</x:v>
      </x:c>
      <x:c r="D358" s="59" t="n">
        <x:v>5.0041423741503355</x:v>
      </x:c>
      <x:c r="E358" s="59" t="n">
        <x:v>2.772423335310794</x:v>
      </x:c>
      <x:c r="F358" s="59" t="n">
        <x:v>6.458024055812555</x:v>
      </x:c>
      <x:c r="G358" s="59" t="n">
        <x:v>5.88</x:v>
      </x:c>
      <x:c r="H358" s="58" t="str">
        <x:v>modeled_latent_ensemble</x:v>
      </x:c>
    </x:row>
    <x:row r="359" ht="15" hidden="0" customHeight="1">
      <x:c r="A359" s="60" t="n">
        <x:v>354</x:v>
      </x:c>
      <x:c r="B359" s="60" t="n">
        <x:v>8.847286375845325</x:v>
      </x:c>
      <x:c r="C359" s="60" t="n">
        <x:v>6.071680262440177</x:v>
      </x:c>
      <x:c r="D359" s="60" t="n">
        <x:v>5.132388452444981</x:v>
      </x:c>
      <x:c r="E359" s="60" t="n">
        <x:v>2.8028464327503086</x:v>
      </x:c>
      <x:c r="F359" s="60" t="n">
        <x:v>6.54579847651921</x:v>
      </x:c>
      <x:c r="G359" s="60" t="n">
        <x:v>5.88</x:v>
      </x:c>
      <x:c r="H359" s="57" t="str">
        <x:v>modeled_latent_ensemble</x:v>
      </x:c>
    </x:row>
    <x:row r="360" ht="15" hidden="0" customHeight="1">
      <x:c r="A360" s="59" t="n">
        <x:v>355</x:v>
      </x:c>
      <x:c r="B360" s="59" t="n">
        <x:v>8.82808630491431</x:v>
      </x:c>
      <x:c r="C360" s="59" t="n">
        <x:v>6.138442990408455</x:v>
      </x:c>
      <x:c r="D360" s="59" t="n">
        <x:v>5.008222101687066</x:v>
      </x:c>
      <x:c r="E360" s="59" t="n">
        <x:v>3.0597410562980283</x:v>
      </x:c>
      <x:c r="F360" s="59" t="n">
        <x:v>6.365507546692141</x:v>
      </x:c>
      <x:c r="G360" s="59" t="n">
        <x:v>5.880000000000001</x:v>
      </x:c>
      <x:c r="H360" s="58" t="str">
        <x:v>modeled_latent_ensemble</x:v>
      </x:c>
    </x:row>
    <x:row r="361" ht="15" hidden="0" customHeight="1">
      <x:c r="A361" s="60" t="n">
        <x:v>356</x:v>
      </x:c>
      <x:c r="B361" s="60" t="n">
        <x:v>8.932197417633082</x:v>
      </x:c>
      <x:c r="C361" s="60" t="n">
        <x:v>5.987838695748648</x:v>
      </x:c>
      <x:c r="D361" s="60" t="n">
        <x:v>5.001695681351521</x:v>
      </x:c>
      <x:c r="E361" s="60" t="n">
        <x:v>3.099548960167373</x:v>
      </x:c>
      <x:c r="F361" s="60" t="n">
        <x:v>6.378719245099377</x:v>
      </x:c>
      <x:c r="G361" s="60" t="n">
        <x:v>5.88</x:v>
      </x:c>
      <x:c r="H361" s="57" t="str">
        <x:v>modeled_latent_ensemble</x:v>
      </x:c>
    </x:row>
    <x:row r="362" ht="15" hidden="0" customHeight="1">
      <x:c r="A362" s="59" t="n">
        <x:v>357</x:v>
      </x:c>
      <x:c r="B362" s="59" t="n">
        <x:v>8.86395776870356</x:v>
      </x:c>
      <x:c r="C362" s="59" t="n">
        <x:v>6.03450268380636</x:v>
      </x:c>
      <x:c r="D362" s="59" t="n">
        <x:v>4.875686394196061</x:v>
      </x:c>
      <x:c r="E362" s="59" t="n">
        <x:v>3.136245085141946</x:v>
      </x:c>
      <x:c r="F362" s="59" t="n">
        <x:v>6.489608068152075</x:v>
      </x:c>
      <x:c r="G362" s="59" t="n">
        <x:v>5.880000000000001</x:v>
      </x:c>
      <x:c r="H362" s="58" t="str">
        <x:v>modeled_latent_ensemble</x:v>
      </x:c>
    </x:row>
    <x:row r="363" ht="15" hidden="0" customHeight="1">
      <x:c r="A363" s="60" t="n">
        <x:v>358</x:v>
      </x:c>
      <x:c r="B363" s="60" t="n">
        <x:v>8.925068532839667</x:v>
      </x:c>
      <x:c r="C363" s="60" t="n">
        <x:v>5.944350228644415</x:v>
      </x:c>
      <x:c r="D363" s="60" t="n">
        <x:v>4.975142223257259</x:v>
      </x:c>
      <x:c r="E363" s="60" t="n">
        <x:v>3.0555353713297877</x:v>
      </x:c>
      <x:c r="F363" s="60" t="n">
        <x:v>6.499903643928872</x:v>
      </x:c>
      <x:c r="G363" s="60" t="n">
        <x:v>5.880000000000001</x:v>
      </x:c>
      <x:c r="H363" s="57" t="str">
        <x:v>modeled_latent_ensemble</x:v>
      </x:c>
    </x:row>
    <x:row r="364" ht="15" hidden="0" customHeight="1">
      <x:c r="A364" s="59" t="n">
        <x:v>359</x:v>
      </x:c>
      <x:c r="B364" s="59" t="n">
        <x:v>8.821390494942822</x:v>
      </x:c>
      <x:c r="C364" s="59" t="n">
        <x:v>6.054464489840514</x:v>
      </x:c>
      <x:c r="D364" s="59" t="n">
        <x:v>5.1635693719003175</x:v>
      </x:c>
      <x:c r="E364" s="59" t="n">
        <x:v>2.812150211198001</x:v>
      </x:c>
      <x:c r="F364" s="59" t="n">
        <x:v>6.548425432118347</x:v>
      </x:c>
      <x:c r="G364" s="59" t="n">
        <x:v>5.880000000000001</x:v>
      </x:c>
      <x:c r="H364" s="58" t="str">
        <x:v>modeled_latent_ensemble</x:v>
      </x:c>
    </x:row>
    <x:row r="365" ht="15" hidden="0" customHeight="1">
      <x:c r="A365" s="60" t="n">
        <x:v>360</x:v>
      </x:c>
      <x:c r="B365" s="60" t="n">
        <x:v>8.915221743196723</x:v>
      </x:c>
      <x:c r="C365" s="60" t="n">
        <x:v>6.028261132854195</x:v>
      </x:c>
      <x:c r="D365" s="60" t="n">
        <x:v>5.002435954918425</x:v>
      </x:c>
      <x:c r="E365" s="60" t="n">
        <x:v>3.139376291941028</x:v>
      </x:c>
      <x:c r="F365" s="60" t="n">
        <x:v>6.314704877089631</x:v>
      </x:c>
      <x:c r="G365" s="60" t="n">
        <x:v>5.880000000000001</x:v>
      </x:c>
      <x:c r="H365" s="57" t="str">
        <x:v>modeled_latent_ensemble</x:v>
      </x:c>
    </x:row>
    <x:row r="366" ht="15" hidden="0" customHeight="1">
      <x:c r="A366" s="59" t="n">
        <x:v>361</x:v>
      </x:c>
      <x:c r="B366" s="59" t="n">
        <x:v>8.914085837471594</x:v>
      </x:c>
      <x:c r="C366" s="59" t="n">
        <x:v>6.084555308476014</x:v>
      </x:c>
      <x:c r="D366" s="59" t="n">
        <x:v>5.061075003285611</x:v>
      </x:c>
      <x:c r="E366" s="59" t="n">
        <x:v>3.0284873606093288</x:v>
      </x:c>
      <x:c r="F366" s="59" t="n">
        <x:v>6.3117964901574535</x:v>
      </x:c>
      <x:c r="G366" s="59" t="n">
        <x:v>5.88</x:v>
      </x:c>
      <x:c r="H366" s="58" t="str">
        <x:v>modeled_latent_ensemble</x:v>
      </x:c>
    </x:row>
    <x:row r="367" ht="15" hidden="0" customHeight="1">
      <x:c r="A367" s="60" t="n">
        <x:v>362</x:v>
      </x:c>
      <x:c r="B367" s="60" t="n">
        <x:v>8.890284907000945</x:v>
      </x:c>
      <x:c r="C367" s="60" t="n">
        <x:v>6.127262385625552</x:v>
      </x:c>
      <x:c r="D367" s="60" t="n">
        <x:v>5.158717808895036</x:v>
      </x:c>
      <x:c r="E367" s="60" t="n">
        <x:v>2.841685784477224</x:v>
      </x:c>
      <x:c r="F367" s="60" t="n">
        <x:v>6.382049114001243</x:v>
      </x:c>
      <x:c r="G367" s="60" t="n">
        <x:v>5.88</x:v>
      </x:c>
      <x:c r="H367" s="57" t="str">
        <x:v>modeled_latent_ensemble</x:v>
      </x:c>
    </x:row>
    <x:row r="368" ht="15" hidden="0" customHeight="1">
      <x:c r="A368" s="59" t="n">
        <x:v>363</x:v>
      </x:c>
      <x:c r="B368" s="59" t="n">
        <x:v>8.960362651459446</x:v>
      </x:c>
      <x:c r="C368" s="59" t="n">
        <x:v>6.0662939714916035</x:v>
      </x:c>
      <x:c r="D368" s="59" t="n">
        <x:v>4.922950880951045</x:v>
      </x:c>
      <x:c r="E368" s="59" t="n">
        <x:v>2.75597177230976</x:v>
      </x:c>
      <x:c r="F368" s="59" t="n">
        <x:v>6.694420723788146</x:v>
      </x:c>
      <x:c r="G368" s="59" t="n">
        <x:v>5.88</x:v>
      </x:c>
      <x:c r="H368" s="58" t="str">
        <x:v>modeled_latent_ensemble</x:v>
      </x:c>
    </x:row>
    <x:row r="369" ht="15" hidden="0" customHeight="1">
      <x:c r="A369" s="60" t="n">
        <x:v>364</x:v>
      </x:c>
      <x:c r="B369" s="60" t="n">
        <x:v>8.752228879674934</x:v>
      </x:c>
      <x:c r="C369" s="60" t="n">
        <x:v>6.018771952876575</x:v>
      </x:c>
      <x:c r="D369" s="60" t="n">
        <x:v>4.968230305868015</x:v>
      </x:c>
      <x:c r="E369" s="60" t="n">
        <x:v>3.4153052053492625</x:v>
      </x:c>
      <x:c r="F369" s="60" t="n">
        <x:v>6.245463656231214</x:v>
      </x:c>
      <x:c r="G369" s="60" t="n">
        <x:v>5.88</x:v>
      </x:c>
      <x:c r="H369" s="57" t="str">
        <x:v>modeled_latent_ensemble</x:v>
      </x:c>
    </x:row>
    <x:row r="370" ht="15" hidden="0" customHeight="1">
      <x:c r="A370" s="59" t="n">
        <x:v>365</x:v>
      </x:c>
      <x:c r="B370" s="59" t="n">
        <x:v>8.943571193200144</x:v>
      </x:c>
      <x:c r="C370" s="59" t="n">
        <x:v>6.000220612799746</x:v>
      </x:c>
      <x:c r="D370" s="59" t="n">
        <x:v>4.806344686713355</x:v>
      </x:c>
      <x:c r="E370" s="59" t="n">
        <x:v>3.3108006367994505</x:v>
      </x:c>
      <x:c r="F370" s="59" t="n">
        <x:v>6.339062870487307</x:v>
      </x:c>
      <x:c r="G370" s="59" t="n">
        <x:v>5.880000000000001</x:v>
      </x:c>
      <x:c r="H370" s="58" t="str">
        <x:v>modeled_latent_ensemble</x:v>
      </x:c>
    </x:row>
    <x:row r="371" ht="15" hidden="0" customHeight="1">
      <x:c r="A371" s="60" t="n">
        <x:v>366</x:v>
      </x:c>
      <x:c r="B371" s="60" t="n">
        <x:v>8.990888576188262</x:v>
      </x:c>
      <x:c r="C371" s="60" t="n">
        <x:v>6.15821468954298</x:v>
      </x:c>
      <x:c r="D371" s="60" t="n">
        <x:v>5.12204453721861</x:v>
      </x:c>
      <x:c r="E371" s="60" t="n">
        <x:v>2.52377614277487</x:v>
      </x:c>
      <x:c r="F371" s="60" t="n">
        <x:v>6.60507605427528</x:v>
      </x:c>
      <x:c r="G371" s="60" t="n">
        <x:v>5.880000000000001</x:v>
      </x:c>
      <x:c r="H371" s="57" t="str">
        <x:v>modeled_latent_ensemble</x:v>
      </x:c>
    </x:row>
    <x:row r="372" ht="15" hidden="0" customHeight="1">
      <x:c r="A372" s="59" t="n">
        <x:v>367</x:v>
      </x:c>
      <x:c r="B372" s="59" t="n">
        <x:v>8.949082555078924</x:v>
      </x:c>
      <x:c r="C372" s="59" t="n">
        <x:v>5.986071007087623</x:v>
      </x:c>
      <x:c r="D372" s="59" t="n">
        <x:v>4.955194356657589</x:v>
      </x:c>
      <x:c r="E372" s="59" t="n">
        <x:v>3.0878906335264396</x:v>
      </x:c>
      <x:c r="F372" s="59" t="n">
        <x:v>6.421761447649426</x:v>
      </x:c>
      <x:c r="G372" s="59" t="n">
        <x:v>5.880000000000001</x:v>
      </x:c>
      <x:c r="H372" s="58" t="str">
        <x:v>modeled_latent_ensemble</x:v>
      </x:c>
    </x:row>
    <x:row r="373" ht="15" hidden="0" customHeight="1">
      <x:c r="A373" s="60" t="n">
        <x:v>368</x:v>
      </x:c>
      <x:c r="B373" s="60" t="n">
        <x:v>8.74120528462476</x:v>
      </x:c>
      <x:c r="C373" s="60" t="n">
        <x:v>6.035478777898819</x:v>
      </x:c>
      <x:c r="D373" s="60" t="n">
        <x:v>5.161421970756942</x:v>
      </x:c>
      <x:c r="E373" s="60" t="n">
        <x:v>3.1722257123173434</x:v>
      </x:c>
      <x:c r="F373" s="60" t="n">
        <x:v>6.289668254402137</x:v>
      </x:c>
      <x:c r="G373" s="60" t="n">
        <x:v>5.88</x:v>
      </x:c>
      <x:c r="H373" s="57" t="str">
        <x:v>modeled_latent_ensemble</x:v>
      </x:c>
    </x:row>
    <x:row r="374" ht="15" hidden="0" customHeight="1">
      <x:c r="A374" s="59" t="n">
        <x:v>369</x:v>
      </x:c>
      <x:c r="B374" s="59" t="n">
        <x:v>8.887698646582646</x:v>
      </x:c>
      <x:c r="C374" s="59" t="n">
        <x:v>6.169248494619907</x:v>
      </x:c>
      <x:c r="D374" s="59" t="n">
        <x:v>5.125050260501654</x:v>
      </x:c>
      <x:c r="E374" s="59" t="n">
        <x:v>2.806320150758233</x:v>
      </x:c>
      <x:c r="F374" s="59" t="n">
        <x:v>6.4116824475375624</x:v>
      </x:c>
      <x:c r="G374" s="59" t="n">
        <x:v>5.880000000000001</x:v>
      </x:c>
      <x:c r="H374" s="58" t="str">
        <x:v>modeled_latent_ensemble</x:v>
      </x:c>
    </x:row>
    <x:row r="375" ht="15" hidden="0" customHeight="1">
      <x:c r="A375" s="60" t="n">
        <x:v>370</x:v>
      </x:c>
      <x:c r="B375" s="60" t="n">
        <x:v>8.939049059953474</x:v>
      </x:c>
      <x:c r="C375" s="60" t="n">
        <x:v>5.957755344890173</x:v>
      </x:c>
      <x:c r="D375" s="60" t="n">
        <x:v>5.086970182608546</x:v>
      </x:c>
      <x:c r="E375" s="60" t="n">
        <x:v>3.2046730190074233</x:v>
      </x:c>
      <x:c r="F375" s="60" t="n">
        <x:v>6.211552393540385</x:v>
      </x:c>
      <x:c r="G375" s="60" t="n">
        <x:v>5.88</x:v>
      </x:c>
      <x:c r="H375" s="57" t="str">
        <x:v>modeled_latent_ensemble</x:v>
      </x:c>
    </x:row>
    <x:row r="376" ht="15" hidden="0" customHeight="1">
      <x:c r="A376" s="59" t="n">
        <x:v>371</x:v>
      </x:c>
      <x:c r="B376" s="59" t="n">
        <x:v>9.039171558071304</x:v>
      </x:c>
      <x:c r="C376" s="59" t="n">
        <x:v>6.18918368683234</x:v>
      </x:c>
      <x:c r="D376" s="59" t="n">
        <x:v>4.989301379587334</x:v>
      </x:c>
      <x:c r="E376" s="59" t="n">
        <x:v>2.763423079450161</x:v>
      </x:c>
      <x:c r="F376" s="59" t="n">
        <x:v>6.418920296058862</x:v>
      </x:c>
      <x:c r="G376" s="59" t="n">
        <x:v>5.88</x:v>
      </x:c>
      <x:c r="H376" s="58" t="str">
        <x:v>modeled_latent_ensemble</x:v>
      </x:c>
    </x:row>
    <x:row r="377" ht="15" hidden="0" customHeight="1">
      <x:c r="A377" s="60" t="n">
        <x:v>372</x:v>
      </x:c>
      <x:c r="B377" s="60" t="n">
        <x:v>8.806665227173015</x:v>
      </x:c>
      <x:c r="C377" s="60" t="n">
        <x:v>5.935299479691965</x:v>
      </x:c>
      <x:c r="D377" s="60" t="n">
        <x:v>4.876922013856959</x:v>
      </x:c>
      <x:c r="E377" s="60" t="n">
        <x:v>3.51899492226021</x:v>
      </x:c>
      <x:c r="F377" s="60" t="n">
        <x:v>6.262118357017852</x:v>
      </x:c>
      <x:c r="G377" s="60" t="n">
        <x:v>5.88</x:v>
      </x:c>
      <x:c r="H377" s="57" t="str">
        <x:v>modeled_latent_ensemble</x:v>
      </x:c>
    </x:row>
    <x:row r="378" ht="15" hidden="0" customHeight="1">
      <x:c r="A378" s="59" t="n">
        <x:v>373</x:v>
      </x:c>
      <x:c r="B378" s="59" t="n">
        <x:v>8.793239160072638</x:v>
      </x:c>
      <x:c r="C378" s="59" t="n">
        <x:v>6.155739679100714</x:v>
      </x:c>
      <x:c r="D378" s="59" t="n">
        <x:v>5.0455607904398025</x:v>
      </x:c>
      <x:c r="E378" s="59" t="n">
        <x:v>3.0867649026291333</x:v>
      </x:c>
      <x:c r="F378" s="59" t="n">
        <x:v>6.3186954677577125</x:v>
      </x:c>
      <x:c r="G378" s="59" t="n">
        <x:v>5.880000000000001</x:v>
      </x:c>
      <x:c r="H378" s="58" t="str">
        <x:v>modeled_latent_ensemble</x:v>
      </x:c>
    </x:row>
    <x:row r="379" ht="15" hidden="0" customHeight="1">
      <x:c r="A379" s="60" t="n">
        <x:v>374</x:v>
      </x:c>
      <x:c r="B379" s="60" t="n">
        <x:v>8.92366148057135</x:v>
      </x:c>
      <x:c r="C379" s="60" t="n">
        <x:v>6.133476267093121</x:v>
      </x:c>
      <x:c r="D379" s="60" t="n">
        <x:v>5.1386971307487626</x:v>
      </x:c>
      <x:c r="E379" s="60" t="n">
        <x:v>2.638314605068388</x:v>
      </x:c>
      <x:c r="F379" s="60" t="n">
        <x:v>6.5658505165183785</x:v>
      </x:c>
      <x:c r="G379" s="60" t="n">
        <x:v>5.88</x:v>
      </x:c>
      <x:c r="H379" s="57" t="str">
        <x:v>modeled_latent_ensemble</x:v>
      </x:c>
    </x:row>
    <x:row r="380" ht="15" hidden="0" customHeight="1">
      <x:c r="A380" s="59" t="n">
        <x:v>375</x:v>
      </x:c>
      <x:c r="B380" s="59" t="n">
        <x:v>8.758939250387735</x:v>
      </x:c>
      <x:c r="C380" s="59" t="n">
        <x:v>5.8855374518758286</x:v>
      </x:c>
      <x:c r="D380" s="59" t="n">
        <x:v>5.099815719775303</x:v>
      </x:c>
      <x:c r="E380" s="59" t="n">
        <x:v>3.208454878842873</x:v>
      </x:c>
      <x:c r="F380" s="59" t="n">
        <x:v>6.447252699118263</x:v>
      </x:c>
      <x:c r="G380" s="59" t="n">
        <x:v>5.880000000000001</x:v>
      </x:c>
      <x:c r="H380" s="58" t="str">
        <x:v>modeled_latent_ensemble</x:v>
      </x:c>
    </x:row>
    <x:row r="381" ht="15" hidden="0" customHeight="1">
      <x:c r="A381" s="60" t="n">
        <x:v>376</x:v>
      </x:c>
      <x:c r="B381" s="60" t="n">
        <x:v>8.770743915924736</x:v>
      </x:c>
      <x:c r="C381" s="60" t="n">
        <x:v>5.949272340325201</x:v>
      </x:c>
      <x:c r="D381" s="60" t="n">
        <x:v>4.818362154741987</x:v>
      </x:c>
      <x:c r="E381" s="60" t="n">
        <x:v>3.3338008247641335</x:v>
      </x:c>
      <x:c r="F381" s="60" t="n">
        <x:v>6.527820764243945</x:v>
      </x:c>
      <x:c r="G381" s="60" t="n">
        <x:v>5.880000000000001</x:v>
      </x:c>
      <x:c r="H381" s="57" t="str">
        <x:v>modeled_latent_ensemble</x:v>
      </x:c>
    </x:row>
    <x:row r="382" ht="15" hidden="0" customHeight="1">
      <x:c r="A382" s="59" t="n">
        <x:v>377</x:v>
      </x:c>
      <x:c r="B382" s="59" t="n">
        <x:v>8.797160296143396</x:v>
      </x:c>
      <x:c r="C382" s="59" t="n">
        <x:v>6.09433505822375</x:v>
      </x:c>
      <x:c r="D382" s="59" t="n">
        <x:v>5.131097605121505</x:v>
      </x:c>
      <x:c r="E382" s="59" t="n">
        <x:v>3.0153299835444978</x:v>
      </x:c>
      <x:c r="F382" s="59" t="n">
        <x:v>6.362077056966852</x:v>
      </x:c>
      <x:c r="G382" s="59" t="n">
        <x:v>5.88</x:v>
      </x:c>
      <x:c r="H382" s="58" t="str">
        <x:v>modeled_latent_ensemble</x:v>
      </x:c>
    </x:row>
    <x:row r="383" ht="15" hidden="0" customHeight="1">
      <x:c r="A383" s="60" t="n">
        <x:v>378</x:v>
      </x:c>
      <x:c r="B383" s="60" t="n">
        <x:v>8.975699795588154</x:v>
      </x:c>
      <x:c r="C383" s="60" t="n">
        <x:v>6.0968567066165145</x:v>
      </x:c>
      <x:c r="D383" s="60" t="n">
        <x:v>5.080494754918313</x:v>
      </x:c>
      <x:c r="E383" s="60" t="n">
        <x:v>2.899111370034874</x:v>
      </x:c>
      <x:c r="F383" s="60" t="n">
        <x:v>6.347837372842145</x:v>
      </x:c>
      <x:c r="G383" s="60" t="n">
        <x:v>5.88</x:v>
      </x:c>
      <x:c r="H383" s="57" t="str">
        <x:v>modeled_latent_ensemble</x:v>
      </x:c>
    </x:row>
    <x:row r="384" ht="15" hidden="0" customHeight="1">
      <x:c r="A384" s="59" t="n">
        <x:v>379</x:v>
      </x:c>
      <x:c r="B384" s="59" t="n">
        <x:v>8.841977136380054</x:v>
      </x:c>
      <x:c r="C384" s="59" t="n">
        <x:v>5.9487185562594735</x:v>
      </x:c>
      <x:c r="D384" s="59" t="n">
        <x:v>5.0022403662311055</x:v>
      </x:c>
      <x:c r="E384" s="59" t="n">
        <x:v>3.4183913582809957</x:v>
      </x:c>
      <x:c r="F384" s="59" t="n">
        <x:v>6.1886725828483735</x:v>
      </x:c>
      <x:c r="G384" s="59" t="n">
        <x:v>5.880000000000001</x:v>
      </x:c>
      <x:c r="H384" s="58" t="str">
        <x:v>modeled_latent_ensemble</x:v>
      </x:c>
    </x:row>
    <x:row r="385" ht="15" hidden="0" customHeight="1">
      <x:c r="A385" s="60" t="n">
        <x:v>380</x:v>
      </x:c>
      <x:c r="B385" s="60" t="n">
        <x:v>8.832191696049106</x:v>
      </x:c>
      <x:c r="C385" s="60" t="n">
        <x:v>5.957114307587643</x:v>
      </x:c>
      <x:c r="D385" s="60" t="n">
        <x:v>4.94226036282394</x:v>
      </x:c>
      <x:c r="E385" s="60" t="n">
        <x:v>3.5256892072055384</x:v>
      </x:c>
      <x:c r="F385" s="60" t="n">
        <x:v>6.142744426333774</x:v>
      </x:c>
      <x:c r="G385" s="60" t="n">
        <x:v>5.880000000000001</x:v>
      </x:c>
      <x:c r="H385" s="57" t="str">
        <x:v>modeled_latent_ensemble</x:v>
      </x:c>
    </x:row>
    <x:row r="386" ht="15" hidden="0" customHeight="1">
      <x:c r="A386" s="59" t="n">
        <x:v>381</x:v>
      </x:c>
      <x:c r="B386" s="59" t="n">
        <x:v>9.002092864550425</x:v>
      </x:c>
      <x:c r="C386" s="59" t="n">
        <x:v>6.0324903069147755</x:v>
      </x:c>
      <x:c r="D386" s="59" t="n">
        <x:v>5.043179219452443</x:v>
      </x:c>
      <x:c r="E386" s="59" t="n">
        <x:v>2.741121193642243</x:v>
      </x:c>
      <x:c r="F386" s="59" t="n">
        <x:v>6.581116415440115</x:v>
      </x:c>
      <x:c r="G386" s="59" t="n">
        <x:v>5.880000000000001</x:v>
      </x:c>
      <x:c r="H386" s="58" t="str">
        <x:v>modeled_latent_ensemble</x:v>
      </x:c>
    </x:row>
    <x:row r="387" ht="15" hidden="0" customHeight="1">
      <x:c r="A387" s="60" t="n">
        <x:v>382</x:v>
      </x:c>
      <x:c r="B387" s="60" t="n">
        <x:v>8.833743455165305</x:v>
      </x:c>
      <x:c r="C387" s="60" t="n">
        <x:v>5.974066829543103</x:v>
      </x:c>
      <x:c r="D387" s="60" t="n">
        <x:v>4.866537644156316</x:v>
      </x:c>
      <x:c r="E387" s="60" t="n">
        <x:v>3.293042452994048</x:v>
      </x:c>
      <x:c r="F387" s="60" t="n">
        <x:v>6.432609618141229</x:v>
      </x:c>
      <x:c r="G387" s="60" t="n">
        <x:v>5.88</x:v>
      </x:c>
      <x:c r="H387" s="57" t="str">
        <x:v>modeled_latent_ensemble</x:v>
      </x:c>
    </x:row>
    <x:row r="388" ht="15" hidden="0" customHeight="1">
      <x:c r="A388" s="59" t="n">
        <x:v>383</x:v>
      </x:c>
      <x:c r="B388" s="59" t="n">
        <x:v>8.875827745186864</x:v>
      </x:c>
      <x:c r="C388" s="59" t="n">
        <x:v>6.06732476049374</x:v>
      </x:c>
      <x:c r="D388" s="59" t="n">
        <x:v>5.199277687444588</x:v>
      </x:c>
      <x:c r="E388" s="59" t="n">
        <x:v>2.843468525879739</x:v>
      </x:c>
      <x:c r="F388" s="59" t="n">
        <x:v>6.41410128099507</x:v>
      </x:c>
      <x:c r="G388" s="59" t="n">
        <x:v>5.880000000000001</x:v>
      </x:c>
      <x:c r="H388" s="58" t="str">
        <x:v>modeled_latent_ensemble</x:v>
      </x:c>
    </x:row>
    <x:row r="389" ht="15" hidden="0" customHeight="1">
      <x:c r="A389" s="60" t="n">
        <x:v>384</x:v>
      </x:c>
      <x:c r="B389" s="60" t="n">
        <x:v>9.01975891669438</x:v>
      </x:c>
      <x:c r="C389" s="60" t="n">
        <x:v>6.19653157992706</x:v>
      </x:c>
      <x:c r="D389" s="60" t="n">
        <x:v>5.171952743187752</x:v>
      </x:c>
      <x:c r="E389" s="60" t="n">
        <x:v>2.539570081858488</x:v>
      </x:c>
      <x:c r="F389" s="60" t="n">
        <x:v>6.472186678332322</x:v>
      </x:c>
      <x:c r="G389" s="60" t="n">
        <x:v>5.880000000000001</x:v>
      </x:c>
      <x:c r="H389" s="57" t="str">
        <x:v>modeled_latent_ensemble</x:v>
      </x:c>
    </x:row>
    <x:row r="390" ht="15" hidden="0" customHeight="1">
      <x:c r="A390" s="59" t="n">
        <x:v>385</x:v>
      </x:c>
      <x:c r="B390" s="59" t="n">
        <x:v>8.92042531979869</x:v>
      </x:c>
      <x:c r="C390" s="59" t="n">
        <x:v>6.192913795384315</x:v>
      </x:c>
      <x:c r="D390" s="59" t="n">
        <x:v>5.242773599763086</x:v>
      </x:c>
      <x:c r="E390" s="59" t="n">
        <x:v>2.6343880946942377</x:v>
      </x:c>
      <x:c r="F390" s="59" t="n">
        <x:v>6.409499190359671</x:v>
      </x:c>
      <x:c r="G390" s="59" t="n">
        <x:v>5.880000000000001</x:v>
      </x:c>
      <x:c r="H390" s="58" t="str">
        <x:v>modeled_latent_ensemble</x:v>
      </x:c>
    </x:row>
    <x:row r="391" ht="15" hidden="0" customHeight="1">
      <x:c r="A391" s="60" t="n">
        <x:v>386</x:v>
      </x:c>
      <x:c r="B391" s="60" t="n">
        <x:v>8.95561986529608</x:v>
      </x:c>
      <x:c r="C391" s="60" t="n">
        <x:v>5.907211578751773</x:v>
      </x:c>
      <x:c r="D391" s="60" t="n">
        <x:v>5.209747908522212</x:v>
      </x:c>
      <x:c r="E391" s="60" t="n">
        <x:v>2.8183023901328315</x:v>
      </x:c>
      <x:c r="F391" s="60" t="n">
        <x:v>6.509118257297104</x:v>
      </x:c>
      <x:c r="G391" s="60" t="n">
        <x:v>5.880000000000001</x:v>
      </x:c>
      <x:c r="H391" s="57" t="str">
        <x:v>modeled_latent_ensemble</x:v>
      </x:c>
    </x:row>
    <x:row r="392" ht="15" hidden="0" customHeight="1">
      <x:c r="A392" s="59" t="n">
        <x:v>387</x:v>
      </x:c>
      <x:c r="B392" s="59" t="n">
        <x:v>8.82672615112515</x:v>
      </x:c>
      <x:c r="C392" s="59" t="n">
        <x:v>6.007116883605381</x:v>
      </x:c>
      <x:c r="D392" s="59" t="n">
        <x:v>5.081025232269993</x:v>
      </x:c>
      <x:c r="E392" s="59" t="n">
        <x:v>3.0329492712064865</x:v>
      </x:c>
      <x:c r="F392" s="59" t="n">
        <x:v>6.45218246179299</x:v>
      </x:c>
      <x:c r="G392" s="59" t="n">
        <x:v>5.880000000000001</x:v>
      </x:c>
      <x:c r="H392" s="58" t="str">
        <x:v>modeled_latent_ensemble</x:v>
      </x:c>
    </x:row>
    <x:row r="393" ht="15" hidden="0" customHeight="1">
      <x:c r="A393" s="60" t="n">
        <x:v>388</x:v>
      </x:c>
      <x:c r="B393" s="60" t="n">
        <x:v>8.877425496381171</x:v>
      </x:c>
      <x:c r="C393" s="60" t="n">
        <x:v>6.025460666138605</x:v>
      </x:c>
      <x:c r="D393" s="60" t="n">
        <x:v>5.097102211842711</x:v>
      </x:c>
      <x:c r="E393" s="60" t="n">
        <x:v>2.9965236092156444</x:v>
      </x:c>
      <x:c r="F393" s="60" t="n">
        <x:v>6.40348801642187</x:v>
      </x:c>
      <x:c r="G393" s="60" t="n">
        <x:v>5.880000000000001</x:v>
      </x:c>
      <x:c r="H393" s="57" t="str">
        <x:v>modeled_latent_ensemble</x:v>
      </x:c>
    </x:row>
    <x:row r="394" ht="15" hidden="0" customHeight="1">
      <x:c r="A394" s="59" t="n">
        <x:v>389</x:v>
      </x:c>
      <x:c r="B394" s="59" t="n">
        <x:v>8.911521367536139</x:v>
      </x:c>
      <x:c r="C394" s="59" t="n">
        <x:v>6.0499708844318105</x:v>
      </x:c>
      <x:c r="D394" s="59" t="n">
        <x:v>5.057147500474107</x:v>
      </x:c>
      <x:c r="E394" s="59" t="n">
        <x:v>3.14002490084335</x:v>
      </x:c>
      <x:c r="F394" s="59" t="n">
        <x:v>6.241335346714594</x:v>
      </x:c>
      <x:c r="G394" s="59" t="n">
        <x:v>5.88</x:v>
      </x:c>
      <x:c r="H394" s="58" t="str">
        <x:v>modeled_latent_ensemble</x:v>
      </x:c>
    </x:row>
    <x:row r="395" ht="15" hidden="0" customHeight="1">
      <x:c r="A395" s="60" t="n">
        <x:v>390</x:v>
      </x:c>
      <x:c r="B395" s="60" t="n">
        <x:v>8.720441714040996</x:v>
      </x:c>
      <x:c r="C395" s="60" t="n">
        <x:v>6.066743778369736</x:v>
      </x:c>
      <x:c r="D395" s="60" t="n">
        <x:v>5.04646316228606</x:v>
      </x:c>
      <x:c r="E395" s="60" t="n">
        <x:v>3.061923950912222</x:v>
      </x:c>
      <x:c r="F395" s="60" t="n">
        <x:v>6.504427394390986</x:v>
      </x:c>
      <x:c r="G395" s="60" t="n">
        <x:v>5.88</x:v>
      </x:c>
      <x:c r="H395" s="57" t="str">
        <x:v>modeled_latent_ensemble</x:v>
      </x:c>
    </x:row>
    <x:row r="396" ht="15" hidden="0" customHeight="1">
      <x:c r="A396" s="59" t="n">
        <x:v>391</x:v>
      </x:c>
      <x:c r="B396" s="59" t="n">
        <x:v>8.939554456404315</x:v>
      </x:c>
      <x:c r="C396" s="59" t="n">
        <x:v>6.1564029419304696</x:v>
      </x:c>
      <x:c r="D396" s="59" t="n">
        <x:v>5.181967291039308</x:v>
      </x:c>
      <x:c r="E396" s="59" t="n">
        <x:v>2.734395426066275</x:v>
      </x:c>
      <x:c r="F396" s="59" t="n">
        <x:v>6.387679884559634</x:v>
      </x:c>
      <x:c r="G396" s="59" t="n">
        <x:v>5.880000000000001</x:v>
      </x:c>
      <x:c r="H396" s="58" t="str">
        <x:v>modeled_latent_ensemble</x:v>
      </x:c>
    </x:row>
    <x:row r="397" ht="15" hidden="0" customHeight="1">
      <x:c r="A397" s="60" t="n">
        <x:v>392</x:v>
      </x:c>
      <x:c r="B397" s="60" t="n">
        <x:v>8.959656066706096</x:v>
      </x:c>
      <x:c r="C397" s="60" t="n">
        <x:v>6.175924855990405</x:v>
      </x:c>
      <x:c r="D397" s="60" t="n">
        <x:v>5.082539702015378</x:v>
      </x:c>
      <x:c r="E397" s="60" t="n">
        <x:v>2.733124689363272</x:v>
      </x:c>
      <x:c r="F397" s="60" t="n">
        <x:v>6.44875468592485</x:v>
      </x:c>
      <x:c r="G397" s="60" t="n">
        <x:v>5.880000000000001</x:v>
      </x:c>
      <x:c r="H397" s="57" t="str">
        <x:v>modeled_latent_ensemble</x:v>
      </x:c>
    </x:row>
    <x:row r="398" ht="15" hidden="0" customHeight="1">
      <x:c r="A398" s="59" t="n">
        <x:v>393</x:v>
      </x:c>
      <x:c r="B398" s="59" t="n">
        <x:v>8.886884320990736</x:v>
      </x:c>
      <x:c r="C398" s="59" t="n">
        <x:v>6.056298721872058</x:v>
      </x:c>
      <x:c r="D398" s="59" t="n">
        <x:v>5.089766664523502</x:v>
      </x:c>
      <x:c r="E398" s="59" t="n">
        <x:v>3.1042921013040368</x:v>
      </x:c>
      <x:c r="F398" s="59" t="n">
        <x:v>6.2627581913096675</x:v>
      </x:c>
      <x:c r="G398" s="59" t="n">
        <x:v>5.880000000000001</x:v>
      </x:c>
      <x:c r="H398" s="58" t="str">
        <x:v>modeled_latent_ensemble</x:v>
      </x:c>
    </x:row>
    <x:row r="399" ht="15" hidden="0" customHeight="1">
      <x:c r="A399" s="60" t="n">
        <x:v>394</x:v>
      </x:c>
      <x:c r="B399" s="60" t="n">
        <x:v>8.947344372830406</x:v>
      </x:c>
      <x:c r="C399" s="60" t="n">
        <x:v>6.040383137241566</x:v>
      </x:c>
      <x:c r="D399" s="60" t="n">
        <x:v>4.951026138843041</x:v>
      </x:c>
      <x:c r="E399" s="60" t="n">
        <x:v>2.893654151825347</x:v>
      </x:c>
      <x:c r="F399" s="60" t="n">
        <x:v>6.567592199259642</x:v>
      </x:c>
      <x:c r="G399" s="60" t="n">
        <x:v>5.880000000000001</x:v>
      </x:c>
      <x:c r="H399" s="57" t="str">
        <x:v>modeled_latent_ensemble</x:v>
      </x:c>
    </x:row>
    <x:row r="400" ht="15" hidden="0" customHeight="1">
      <x:c r="A400" s="59" t="n">
        <x:v>395</x:v>
      </x:c>
      <x:c r="B400" s="59" t="n">
        <x:v>8.853711207895696</x:v>
      </x:c>
      <x:c r="C400" s="59" t="n">
        <x:v>6.097028450438126</x:v>
      </x:c>
      <x:c r="D400" s="59" t="n">
        <x:v>5.172486463213575</x:v>
      </x:c>
      <x:c r="E400" s="59" t="n">
        <x:v>2.943441941347026</x:v>
      </x:c>
      <x:c r="F400" s="59" t="n">
        <x:v>6.333331937105578</x:v>
      </x:c>
      <x:c r="G400" s="59" t="n">
        <x:v>5.88</x:v>
      </x:c>
      <x:c r="H400" s="58" t="str">
        <x:v>modeled_latent_ensemble</x:v>
      </x:c>
    </x:row>
    <x:row r="401" ht="15" hidden="0" customHeight="1">
      <x:c r="A401" s="60" t="n">
        <x:v>396</x:v>
      </x:c>
      <x:c r="B401" s="60" t="n">
        <x:v>9.024881677680678</x:v>
      </x:c>
      <x:c r="C401" s="60" t="n">
        <x:v>6.059507498069043</x:v>
      </x:c>
      <x:c r="D401" s="60" t="n">
        <x:v>5.121097740700575</x:v>
      </x:c>
      <x:c r="E401" s="60" t="n">
        <x:v>2.847532898040153</x:v>
      </x:c>
      <x:c r="F401" s="60" t="n">
        <x:v>6.346980185509551</x:v>
      </x:c>
      <x:c r="G401" s="60" t="n">
        <x:v>5.880000000000001</x:v>
      </x:c>
      <x:c r="H401" s="57" t="str">
        <x:v>modeled_latent_ensemble</x:v>
      </x:c>
    </x:row>
    <x:row r="402" ht="15" hidden="0" customHeight="1">
      <x:c r="A402" s="59" t="n">
        <x:v>397</x:v>
      </x:c>
      <x:c r="B402" s="59" t="n">
        <x:v>8.772151438176044</x:v>
      </x:c>
      <x:c r="C402" s="59" t="n">
        <x:v>6.0064182802068835</x:v>
      </x:c>
      <x:c r="D402" s="59" t="n">
        <x:v>5.143235823864223</x:v>
      </x:c>
      <x:c r="E402" s="59" t="n">
        <x:v>3.0020831973874835</x:v>
      </x:c>
      <x:c r="F402" s="59" t="n">
        <x:v>6.476111260365367</x:v>
      </x:c>
      <x:c r="G402" s="59" t="n">
        <x:v>5.880000000000001</x:v>
      </x:c>
      <x:c r="H402" s="58" t="str">
        <x:v>modeled_latent_ensemble</x:v>
      </x:c>
    </x:row>
    <x:row r="403" ht="15" hidden="0" customHeight="1">
      <x:c r="A403" s="60" t="n">
        <x:v>398</x:v>
      </x:c>
      <x:c r="B403" s="60" t="n">
        <x:v>9.002410588708425</x:v>
      </x:c>
      <x:c r="C403" s="60" t="n">
        <x:v>6.144926276742102</x:v>
      </x:c>
      <x:c r="D403" s="60" t="n">
        <x:v>5.137153895025575</x:v>
      </x:c>
      <x:c r="E403" s="60" t="n">
        <x:v>2.632769851764469</x:v>
      </x:c>
      <x:c r="F403" s="60" t="n">
        <x:v>6.4827393877594295</x:v>
      </x:c>
      <x:c r="G403" s="60" t="n">
        <x:v>5.880000000000001</x:v>
      </x:c>
      <x:c r="H403" s="57" t="str">
        <x:v>modeled_latent_ensemble</x:v>
      </x:c>
    </x:row>
    <x:row r="404" ht="15" hidden="0" customHeight="1">
      <x:c r="A404" s="59" t="n">
        <x:v>399</x:v>
      </x:c>
      <x:c r="B404" s="59" t="n">
        <x:v>9.010059867703538</x:v>
      </x:c>
      <x:c r="C404" s="59" t="n">
        <x:v>6.152228215994415</x:v>
      </x:c>
      <x:c r="D404" s="59" t="n">
        <x:v>5.014820257809321</x:v>
      </x:c>
      <x:c r="E404" s="59" t="n">
        <x:v>2.873257409237286</x:v>
      </x:c>
      <x:c r="F404" s="59" t="n">
        <x:v>6.349634249255441</x:v>
      </x:c>
      <x:c r="G404" s="59" t="n">
        <x:v>5.88</x:v>
      </x:c>
      <x:c r="H404" s="58" t="str">
        <x:v>modeled_latent_ensemble</x:v>
      </x:c>
    </x:row>
    <x:row r="405" ht="15" hidden="0" customHeight="1">
      <x:c r="A405" s="60" t="n">
        <x:v>400</x:v>
      </x:c>
      <x:c r="B405" s="60" t="n">
        <x:v>8.827201977275143</x:v>
      </x:c>
      <x:c r="C405" s="60" t="n">
        <x:v>5.976660520803618</x:v>
      </x:c>
      <x:c r="D405" s="60" t="n">
        <x:v>5.278612163806172</x:v>
      </x:c>
      <x:c r="E405" s="60" t="n">
        <x:v>2.9182499695727584</x:v>
      </x:c>
      <x:c r="F405" s="60" t="n">
        <x:v>6.39927536854231</x:v>
      </x:c>
      <x:c r="G405" s="60" t="n">
        <x:v>5.880000000000001</x:v>
      </x:c>
      <x:c r="H405" s="57" t="str">
        <x:v>modeled_latent_ensemble</x:v>
      </x:c>
    </x:row>
    <x:row r="406" ht="15" hidden="0" customHeight="1">
      <x:c r="A406" s="59" t="n">
        <x:v>401</x:v>
      </x:c>
      <x:c r="B406" s="59" t="n">
        <x:v>8.844550997463642</x:v>
      </x:c>
      <x:c r="C406" s="59" t="n">
        <x:v>5.883792090450193</x:v>
      </x:c>
      <x:c r="D406" s="59" t="n">
        <x:v>5.028343253570166</x:v>
      </x:c>
      <x:c r="E406" s="59" t="n">
        <x:v>3.2047869496969836</x:v>
      </x:c>
      <x:c r="F406" s="59" t="n">
        <x:v>6.438526708819016</x:v>
      </x:c>
      <x:c r="G406" s="59" t="n">
        <x:v>5.880000000000001</x:v>
      </x:c>
      <x:c r="H406" s="58" t="str">
        <x:v>modeled_latent_ensemble</x:v>
      </x:c>
    </x:row>
    <x:row r="407" ht="15" hidden="0" customHeight="1">
      <x:c r="A407" s="60" t="n">
        <x:v>402</x:v>
      </x:c>
      <x:c r="B407" s="60" t="n">
        <x:v>8.950723772035962</x:v>
      </x:c>
      <x:c r="C407" s="60" t="n">
        <x:v>6.078624553727118</x:v>
      </x:c>
      <x:c r="D407" s="60" t="n">
        <x:v>5.054223777506642</x:v>
      </x:c>
      <x:c r="E407" s="60" t="n">
        <x:v>3.109102430666391</x:v>
      </x:c>
      <x:c r="F407" s="60" t="n">
        <x:v>6.20732546606389</x:v>
      </x:c>
      <x:c r="G407" s="60" t="n">
        <x:v>5.880000000000001</x:v>
      </x:c>
      <x:c r="H407" s="57" t="str">
        <x:v>modeled_latent_ensemble</x:v>
      </x:c>
    </x:row>
    <x:row r="408" ht="15" hidden="0" customHeight="1">
      <x:c r="A408" s="59" t="n">
        <x:v>403</x:v>
      </x:c>
      <x:c r="B408" s="59" t="n">
        <x:v>8.820980856166416</x:v>
      </x:c>
      <x:c r="C408" s="59" t="n">
        <x:v>6.084808391749795</x:v>
      </x:c>
      <x:c r="D408" s="59" t="n">
        <x:v>5.033876276050459</x:v>
      </x:c>
      <x:c r="E408" s="59" t="n">
        <x:v>3.248551949035697</x:v>
      </x:c>
      <x:c r="F408" s="59" t="n">
        <x:v>6.2117825269976334</x:v>
      </x:c>
      <x:c r="G408" s="59" t="n">
        <x:v>5.880000000000001</x:v>
      </x:c>
      <x:c r="H408" s="58" t="str">
        <x:v>modeled_latent_ensemble</x:v>
      </x:c>
    </x:row>
    <x:row r="409" ht="15" hidden="0" customHeight="1">
      <x:c r="A409" s="60" t="n">
        <x:v>404</x:v>
      </x:c>
      <x:c r="B409" s="60" t="n">
        <x:v>8.935089341912796</x:v>
      </x:c>
      <x:c r="C409" s="60" t="n">
        <x:v>5.97342436187748</x:v>
      </x:c>
      <x:c r="D409" s="60" t="n">
        <x:v>5.227654048337881</x:v>
      </x:c>
      <x:c r="E409" s="60" t="n">
        <x:v>2.780731916516396</x:v>
      </x:c>
      <x:c r="F409" s="60" t="n">
        <x:v>6.483100331355448</x:v>
      </x:c>
      <x:c r="G409" s="60" t="n">
        <x:v>5.880000000000001</x:v>
      </x:c>
      <x:c r="H409" s="57" t="str">
        <x:v>modeled_latent_ensemble</x:v>
      </x:c>
    </x:row>
    <x:row r="410" ht="15" hidden="0" customHeight="1">
      <x:c r="A410" s="59" t="n">
        <x:v>405</x:v>
      </x:c>
      <x:c r="B410" s="59" t="n">
        <x:v>8.85460043189736</x:v>
      </x:c>
      <x:c r="C410" s="59" t="n">
        <x:v>5.907121152136032</x:v>
      </x:c>
      <x:c r="D410" s="59" t="n">
        <x:v>5.003123899871571</x:v>
      </x:c>
      <x:c r="E410" s="59" t="n">
        <x:v>3.209378490742725</x:v>
      </x:c>
      <x:c r="F410" s="59" t="n">
        <x:v>6.425776025352314</x:v>
      </x:c>
      <x:c r="G410" s="59" t="n">
        <x:v>5.880000000000001</x:v>
      </x:c>
      <x:c r="H410" s="58" t="str">
        <x:v>modeled_latent_ensemble</x:v>
      </x:c>
    </x:row>
    <x:row r="411" ht="15" hidden="0" customHeight="1">
      <x:c r="A411" s="60" t="n">
        <x:v>406</x:v>
      </x:c>
      <x:c r="B411" s="60" t="n">
        <x:v>8.883264214114494</x:v>
      </x:c>
      <x:c r="C411" s="60" t="n">
        <x:v>5.963986626137574</x:v>
      </x:c>
      <x:c r="D411" s="60" t="n">
        <x:v>5.279899638795265</x:v>
      </x:c>
      <x:c r="E411" s="60" t="n">
        <x:v>2.9956191540707957</x:v>
      </x:c>
      <x:c r="F411" s="60" t="n">
        <x:v>6.277230366881873</x:v>
      </x:c>
      <x:c r="G411" s="60" t="n">
        <x:v>5.880000000000001</x:v>
      </x:c>
      <x:c r="H411" s="57" t="str">
        <x:v>modeled_latent_ensemble</x:v>
      </x:c>
    </x:row>
    <x:row r="412" ht="15" hidden="0" customHeight="1">
      <x:c r="A412" s="59" t="n">
        <x:v>407</x:v>
      </x:c>
      <x:c r="B412" s="59" t="n">
        <x:v>8.772527636238198</x:v>
      </x:c>
      <x:c r="C412" s="59" t="n">
        <x:v>5.9842674236738045</x:v>
      </x:c>
      <x:c r="D412" s="59" t="n">
        <x:v>5.143896476639668</x:v>
      </x:c>
      <x:c r="E412" s="59" t="n">
        <x:v>2.9944896561307384</x:v>
      </x:c>
      <x:c r="F412" s="59" t="n">
        <x:v>6.504818807317592</x:v>
      </x:c>
      <x:c r="G412" s="59" t="n">
        <x:v>5.88</x:v>
      </x:c>
      <x:c r="H412" s="58" t="str">
        <x:v>modeled_latent_ensemble</x:v>
      </x:c>
    </x:row>
    <x:row r="413" ht="15" hidden="0" customHeight="1">
      <x:c r="A413" s="60" t="n">
        <x:v>408</x:v>
      </x:c>
      <x:c r="B413" s="60" t="n">
        <x:v>8.873309996919216</x:v>
      </x:c>
      <x:c r="C413" s="60" t="n">
        <x:v>5.957643576515308</x:v>
      </x:c>
      <x:c r="D413" s="60" t="n">
        <x:v>5.088395071788222</x:v>
      </x:c>
      <x:c r="E413" s="60" t="n">
        <x:v>2.9749153784037343</x:v>
      </x:c>
      <x:c r="F413" s="60" t="n">
        <x:v>6.505735976373519</x:v>
      </x:c>
      <x:c r="G413" s="60" t="n">
        <x:v>5.880000000000001</x:v>
      </x:c>
      <x:c r="H413" s="57" t="str">
        <x:v>modeled_latent_ensemble</x:v>
      </x:c>
    </x:row>
    <x:row r="414" ht="15" hidden="0" customHeight="1">
      <x:c r="A414" s="59" t="n">
        <x:v>409</x:v>
      </x:c>
      <x:c r="B414" s="59" t="n">
        <x:v>8.853940603913243</x:v>
      </x:c>
      <x:c r="C414" s="59" t="n">
        <x:v>5.897853573710075</x:v>
      </x:c>
      <x:c r="D414" s="59" t="n">
        <x:v>5.253095433891156</x:v>
      </x:c>
      <x:c r="E414" s="59" t="n">
        <x:v>3.088387835315775</x:v>
      </x:c>
      <x:c r="F414" s="59" t="n">
        <x:v>6.306722553169752</x:v>
      </x:c>
      <x:c r="G414" s="59" t="n">
        <x:v>5.88</x:v>
      </x:c>
      <x:c r="H414" s="58" t="str">
        <x:v>modeled_latent_ensemble</x:v>
      </x:c>
    </x:row>
    <x:row r="415" ht="15" hidden="0" customHeight="1">
      <x:c r="A415" s="60" t="n">
        <x:v>410</x:v>
      </x:c>
      <x:c r="B415" s="60" t="n">
        <x:v>8.761239853362547</x:v>
      </x:c>
      <x:c r="C415" s="60" t="n">
        <x:v>5.999797315171054</x:v>
      </x:c>
      <x:c r="D415" s="60" t="n">
        <x:v>5.105706179426481</x:v>
      </x:c>
      <x:c r="E415" s="60" t="n">
        <x:v>3.2366145887210385</x:v>
      </x:c>
      <x:c r="F415" s="60" t="n">
        <x:v>6.296642063318881</x:v>
      </x:c>
      <x:c r="G415" s="60" t="n">
        <x:v>5.880000000000001</x:v>
      </x:c>
      <x:c r="H415" s="57" t="str">
        <x:v>modeled_latent_ensemble</x:v>
      </x:c>
    </x:row>
    <x:row r="416" ht="15" hidden="0" customHeight="1">
      <x:c r="A416" s="59" t="n">
        <x:v>411</x:v>
      </x:c>
      <x:c r="B416" s="59" t="n">
        <x:v>9.03822572434486</x:v>
      </x:c>
      <x:c r="C416" s="59" t="n">
        <x:v>6.031721212439007</x:v>
      </x:c>
      <x:c r="D416" s="59" t="n">
        <x:v>5.182979030658805</x:v>
      </x:c>
      <x:c r="E416" s="59" t="n">
        <x:v>2.552370724923757</x:v>
      </x:c>
      <x:c r="F416" s="59" t="n">
        <x:v>6.594703307633573</x:v>
      </x:c>
      <x:c r="G416" s="59" t="n">
        <x:v>5.880000000000001</x:v>
      </x:c>
      <x:c r="H416" s="58" t="str">
        <x:v>modeled_latent_ensemble</x:v>
      </x:c>
    </x:row>
    <x:row r="417" ht="15" hidden="0" customHeight="1">
      <x:c r="A417" s="60" t="n">
        <x:v>412</x:v>
      </x:c>
      <x:c r="B417" s="60" t="n">
        <x:v>8.765383342088574</x:v>
      </x:c>
      <x:c r="C417" s="60" t="n">
        <x:v>5.985823731289894</x:v>
      </x:c>
      <x:c r="D417" s="60" t="n">
        <x:v>4.8798504276163674</x:v>
      </x:c>
      <x:c r="E417" s="60" t="n">
        <x:v>3.2587777903523696</x:v>
      </x:c>
      <x:c r="F417" s="60" t="n">
        <x:v>6.5101647086527965</x:v>
      </x:c>
      <x:c r="G417" s="60" t="n">
        <x:v>5.88</x:v>
      </x:c>
      <x:c r="H417" s="57" t="str">
        <x:v>modeled_latent_ensemble</x:v>
      </x:c>
    </x:row>
    <x:row r="418" ht="15" hidden="0" customHeight="1">
      <x:c r="A418" s="59" t="n">
        <x:v>413</x:v>
      </x:c>
      <x:c r="B418" s="59" t="n">
        <x:v>8.841572754787112</x:v>
      </x:c>
      <x:c r="C418" s="59" t="n">
        <x:v>5.939902999620257</x:v>
      </x:c>
      <x:c r="D418" s="59" t="n">
        <x:v>4.931427451597876</x:v>
      </x:c>
      <x:c r="E418" s="59" t="n">
        <x:v>3.2939065609074136</x:v>
      </x:c>
      <x:c r="F418" s="59" t="n">
        <x:v>6.393190233087342</x:v>
      </x:c>
      <x:c r="G418" s="59" t="n">
        <x:v>5.88</x:v>
      </x:c>
      <x:c r="H418" s="58" t="str">
        <x:v>modeled_latent_ensemble</x:v>
      </x:c>
    </x:row>
    <x:row r="419" ht="15" hidden="0" customHeight="1">
      <x:c r="A419" s="60" t="n">
        <x:v>414</x:v>
      </x:c>
      <x:c r="B419" s="60" t="n">
        <x:v>8.854868542123514</x:v>
      </x:c>
      <x:c r="C419" s="60" t="n">
        <x:v>6.108673483507797</x:v>
      </x:c>
      <x:c r="D419" s="60" t="n">
        <x:v>4.992549519823431</x:v>
      </x:c>
      <x:c r="E419" s="60" t="n">
        <x:v>2.992649467351631</x:v>
      </x:c>
      <x:c r="F419" s="60" t="n">
        <x:v>6.451258987193628</x:v>
      </x:c>
      <x:c r="G419" s="60" t="n">
        <x:v>5.88</x:v>
      </x:c>
      <x:c r="H419" s="57" t="str">
        <x:v>modeled_latent_ensemble</x:v>
      </x:c>
    </x:row>
    <x:row r="420" ht="15" hidden="0" customHeight="1">
      <x:c r="A420" s="59" t="n">
        <x:v>415</x:v>
      </x:c>
      <x:c r="B420" s="59" t="n">
        <x:v>9.033445248113674</x:v>
      </x:c>
      <x:c r="C420" s="59" t="n">
        <x:v>5.982279719943545</x:v>
      </x:c>
      <x:c r="D420" s="59" t="n">
        <x:v>5.0624368878970705</x:v>
      </x:c>
      <x:c r="E420" s="59" t="n">
        <x:v>2.9658529276170817</x:v>
      </x:c>
      <x:c r="F420" s="59" t="n">
        <x:v>6.355985216428631</x:v>
      </x:c>
      <x:c r="G420" s="59" t="n">
        <x:v>5.880000000000001</x:v>
      </x:c>
      <x:c r="H420" s="58" t="str">
        <x:v>modeled_latent_ensemble</x:v>
      </x:c>
    </x:row>
    <x:row r="421" ht="15" hidden="0" customHeight="1">
      <x:c r="A421" s="60" t="n">
        <x:v>416</x:v>
      </x:c>
      <x:c r="B421" s="60" t="n">
        <x:v>8.778999447574012</x:v>
      </x:c>
      <x:c r="C421" s="60" t="n">
        <x:v>5.928791503965249</x:v>
      </x:c>
      <x:c r="D421" s="60" t="n">
        <x:v>5.107058045285955</x:v>
      </x:c>
      <x:c r="E421" s="60" t="n">
        <x:v>3.162609732193277</x:v>
      </x:c>
      <x:c r="F421" s="60" t="n">
        <x:v>6.422541270981509</x:v>
      </x:c>
      <x:c r="G421" s="60" t="n">
        <x:v>5.880000000000001</x:v>
      </x:c>
      <x:c r="H421" s="57" t="str">
        <x:v>modeled_latent_ensemble</x:v>
      </x:c>
    </x:row>
    <x:row r="422" ht="15" hidden="0" customHeight="1">
      <x:c r="A422" s="59" t="n">
        <x:v>417</x:v>
      </x:c>
      <x:c r="B422" s="59" t="n">
        <x:v>8.846909640706517</x:v>
      </x:c>
      <x:c r="C422" s="59" t="n">
        <x:v>6.049713743579643</x:v>
      </x:c>
      <x:c r="D422" s="59" t="n">
        <x:v>4.956213432666442</x:v>
      </x:c>
      <x:c r="E422" s="59" t="n">
        <x:v>3.0208223238471983</x:v>
      </x:c>
      <x:c r="F422" s="59" t="n">
        <x:v>6.526340859200201</x:v>
      </x:c>
      <x:c r="G422" s="59" t="n">
        <x:v>5.880000000000001</x:v>
      </x:c>
      <x:c r="H422" s="58" t="str">
        <x:v>modeled_latent_ensemble</x:v>
      </x:c>
    </x:row>
    <x:row r="423" ht="15" hidden="0" customHeight="1">
      <x:c r="A423" s="60" t="n">
        <x:v>418</x:v>
      </x:c>
      <x:c r="B423" s="60" t="n">
        <x:v>8.91383667734801</x:v>
      </x:c>
      <x:c r="C423" s="60" t="n">
        <x:v>6.192373183485113</x:v>
      </x:c>
      <x:c r="D423" s="60" t="n">
        <x:v>5.0160184380260455</x:v>
      </x:c>
      <x:c r="E423" s="60" t="n">
        <x:v>2.7706463619744963</x:v>
      </x:c>
      <x:c r="F423" s="60" t="n">
        <x:v>6.507125339166335</x:v>
      </x:c>
      <x:c r="G423" s="60" t="n">
        <x:v>5.880000000000001</x:v>
      </x:c>
      <x:c r="H423" s="57" t="str">
        <x:v>modeled_latent_ensemble</x:v>
      </x:c>
    </x:row>
    <x:row r="424" ht="15" hidden="0" customHeight="1">
      <x:c r="A424" s="59" t="n">
        <x:v>419</x:v>
      </x:c>
      <x:c r="B424" s="59" t="n">
        <x:v>8.933398062201778</x:v>
      </x:c>
      <x:c r="C424" s="59" t="n">
        <x:v>6.097180272375955</x:v>
      </x:c>
      <x:c r="D424" s="59" t="n">
        <x:v>4.9441029475854785</x:v>
      </x:c>
      <x:c r="E424" s="59" t="n">
        <x:v>2.997660118693565</x:v>
      </x:c>
      <x:c r="F424" s="59" t="n">
        <x:v>6.427658599143224</x:v>
      </x:c>
      <x:c r="G424" s="59" t="n">
        <x:v>5.880000000000001</x:v>
      </x:c>
      <x:c r="H424" s="58" t="str">
        <x:v>modeled_latent_ensemble</x:v>
      </x:c>
    </x:row>
    <x:row r="425" ht="15" hidden="0" customHeight="1">
      <x:c r="A425" s="60" t="n">
        <x:v>420</x:v>
      </x:c>
      <x:c r="B425" s="60" t="n">
        <x:v>8.720246160951737</x:v>
      </x:c>
      <x:c r="C425" s="60" t="n">
        <x:v>6.044881056707594</x:v>
      </x:c>
      <x:c r="D425" s="60" t="n">
        <x:v>4.964595603227259</x:v>
      </x:c>
      <x:c r="E425" s="60" t="n">
        <x:v>3.3033224929627636</x:v>
      </x:c>
      <x:c r="F425" s="60" t="n">
        <x:v>6.366954686150647</x:v>
      </x:c>
      <x:c r="G425" s="60" t="n">
        <x:v>5.88</x:v>
      </x:c>
      <x:c r="H425" s="57" t="str">
        <x:v>modeled_latent_ensemble</x:v>
      </x:c>
    </x:row>
    <x:row r="426" ht="15" hidden="0" customHeight="1">
      <x:c r="A426" s="59" t="n">
        <x:v>421</x:v>
      </x:c>
      <x:c r="B426" s="59" t="n">
        <x:v>8.898963467215143</x:v>
      </x:c>
      <x:c r="C426" s="59" t="n">
        <x:v>6.058122351439739</x:v>
      </x:c>
      <x:c r="D426" s="59" t="n">
        <x:v>5.208842574342034</x:v>
      </x:c>
      <x:c r="E426" s="59" t="n">
        <x:v>2.660152890601138</x:v>
      </x:c>
      <x:c r="F426" s="59" t="n">
        <x:v>6.5739187164019475</x:v>
      </x:c>
      <x:c r="G426" s="59" t="n">
        <x:v>5.880000000000001</x:v>
      </x:c>
      <x:c r="H426" s="58" t="str">
        <x:v>modeled_latent_ensemble</x:v>
      </x:c>
    </x:row>
    <x:row r="427" ht="15" hidden="0" customHeight="1">
      <x:c r="A427" s="60" t="n">
        <x:v>422</x:v>
      </x:c>
      <x:c r="B427" s="60" t="n">
        <x:v>8.975371220230125</x:v>
      </x:c>
      <x:c r="C427" s="60" t="n">
        <x:v>5.858417607230673</x:v>
      </x:c>
      <x:c r="D427" s="60" t="n">
        <x:v>5.198026876806093</x:v>
      </x:c>
      <x:c r="E427" s="60" t="n">
        <x:v>2.87993835129745</x:v>
      </x:c>
      <x:c r="F427" s="60" t="n">
        <x:v>6.48824594443566</x:v>
      </x:c>
      <x:c r="G427" s="60" t="n">
        <x:v>5.880000000000001</x:v>
      </x:c>
      <x:c r="H427" s="57" t="str">
        <x:v>modeled_latent_ensemble</x:v>
      </x:c>
    </x:row>
    <x:row r="428" ht="15" hidden="0" customHeight="1">
      <x:c r="A428" s="59" t="n">
        <x:v>423</x:v>
      </x:c>
      <x:c r="B428" s="59" t="n">
        <x:v>8.958185775378949</x:v>
      </x:c>
      <x:c r="C428" s="59" t="n">
        <x:v>5.966309087371348</x:v>
      </x:c>
      <x:c r="D428" s="59" t="n">
        <x:v>4.90099981856252</x:v>
      </x:c>
      <x:c r="E428" s="59" t="n">
        <x:v>3.2030189063972068</x:v>
      </x:c>
      <x:c r="F428" s="59" t="n">
        <x:v>6.371486412289976</x:v>
      </x:c>
      <x:c r="G428" s="59" t="n">
        <x:v>5.880000000000001</x:v>
      </x:c>
      <x:c r="H428" s="58" t="str">
        <x:v>modeled_latent_ensemble</x:v>
      </x:c>
    </x:row>
    <x:row r="429" ht="15" hidden="0" customHeight="1">
      <x:c r="A429" s="60" t="n">
        <x:v>424</x:v>
      </x:c>
      <x:c r="B429" s="60" t="n">
        <x:v>8.88387937192725</x:v>
      </x:c>
      <x:c r="C429" s="60" t="n">
        <x:v>6.184669872898143</x:v>
      </x:c>
      <x:c r="D429" s="60" t="n">
        <x:v>5.108682291516307</x:v>
      </x:c>
      <x:c r="E429" s="60" t="n">
        <x:v>2.9386496210294872</x:v>
      </x:c>
      <x:c r="F429" s="60" t="n">
        <x:v>6.284118842628815</x:v>
      </x:c>
      <x:c r="G429" s="60" t="n">
        <x:v>5.880000000000001</x:v>
      </x:c>
      <x:c r="H429" s="57" t="str">
        <x:v>modeled_latent_ensemble</x:v>
      </x:c>
    </x:row>
    <x:row r="430" ht="15" hidden="0" customHeight="1">
      <x:c r="A430" s="59" t="n">
        <x:v>425</x:v>
      </x:c>
      <x:c r="B430" s="59" t="n">
        <x:v>9.002235011014807</x:v>
      </x:c>
      <x:c r="C430" s="59" t="n">
        <x:v>5.973002535226395</x:v>
      </x:c>
      <x:c r="D430" s="59" t="n">
        <x:v>5.034290713792378</x:v>
      </x:c>
      <x:c r="E430" s="59" t="n">
        <x:v>2.979522358925254</x:v>
      </x:c>
      <x:c r="F430" s="59" t="n">
        <x:v>6.410949381041167</x:v>
      </x:c>
      <x:c r="G430" s="59" t="n">
        <x:v>5.880000000000001</x:v>
      </x:c>
      <x:c r="H430" s="58" t="str">
        <x:v>modeled_latent_ensemble</x:v>
      </x:c>
    </x:row>
    <x:row r="431" ht="15" hidden="0" customHeight="1">
      <x:c r="A431" s="60" t="n">
        <x:v>426</x:v>
      </x:c>
      <x:c r="B431" s="60" t="n">
        <x:v>8.918713995973413</x:v>
      </x:c>
      <x:c r="C431" s="60" t="n">
        <x:v>6.117750324466279</x:v>
      </x:c>
      <x:c r="D431" s="60" t="n">
        <x:v>5.156835359563455</x:v>
      </x:c>
      <x:c r="E431" s="60" t="n">
        <x:v>2.8426493320311454</x:v>
      </x:c>
      <x:c r="F431" s="60" t="n">
        <x:v>6.36405098796571</x:v>
      </x:c>
      <x:c r="G431" s="60" t="n">
        <x:v>5.880000000000001</x:v>
      </x:c>
      <x:c r="H431" s="57" t="str">
        <x:v>modeled_latent_ensemble</x:v>
      </x:c>
    </x:row>
    <x:row r="432" ht="15" hidden="0" customHeight="1">
      <x:c r="A432" s="59" t="n">
        <x:v>427</x:v>
      </x:c>
      <x:c r="B432" s="59" t="n">
        <x:v>8.96205622461965</x:v>
      </x:c>
      <x:c r="C432" s="59" t="n">
        <x:v>6.1351080631735115</x:v>
      </x:c>
      <x:c r="D432" s="59" t="n">
        <x:v>4.8686549805660455</x:v>
      </x:c>
      <x:c r="E432" s="59" t="n">
        <x:v>3.143231150136644</x:v>
      </x:c>
      <x:c r="F432" s="59" t="n">
        <x:v>6.290949581504151</x:v>
      </x:c>
      <x:c r="G432" s="59" t="n">
        <x:v>5.88</x:v>
      </x:c>
      <x:c r="H432" s="58" t="str">
        <x:v>modeled_latent_ensemble</x:v>
      </x:c>
    </x:row>
    <x:row r="433" ht="15" hidden="0" customHeight="1">
      <x:c r="A433" s="60" t="n">
        <x:v>428</x:v>
      </x:c>
      <x:c r="B433" s="60" t="n">
        <x:v>8.819591036774627</x:v>
      </x:c>
      <x:c r="C433" s="60" t="n">
        <x:v>5.9004371488762315</x:v>
      </x:c>
      <x:c r="D433" s="60" t="n">
        <x:v>5.102799332785311</x:v>
      </x:c>
      <x:c r="E433" s="60" t="n">
        <x:v>3.2550503972895113</x:v>
      </x:c>
      <x:c r="F433" s="60" t="n">
        <x:v>6.322122084274319</x:v>
      </x:c>
      <x:c r="G433" s="60" t="n">
        <x:v>5.880000000000001</x:v>
      </x:c>
      <x:c r="H433" s="57" t="str">
        <x:v>modeled_latent_ensemble</x:v>
      </x:c>
    </x:row>
    <x:row r="434" ht="15" hidden="0" customHeight="1">
      <x:c r="A434" s="59" t="n">
        <x:v>429</x:v>
      </x:c>
      <x:c r="B434" s="59" t="n">
        <x:v>8.769678092441493</x:v>
      </x:c>
      <x:c r="C434" s="59" t="n">
        <x:v>5.972460196072895</x:v>
      </x:c>
      <x:c r="D434" s="59" t="n">
        <x:v>5.145040345028445</x:v>
      </x:c>
      <x:c r="E434" s="59" t="n">
        <x:v>2.922575708560812</x:v>
      </x:c>
      <x:c r="F434" s="59" t="n">
        <x:v>6.590245657896356</x:v>
      </x:c>
      <x:c r="G434" s="59" t="n">
        <x:v>5.880000000000001</x:v>
      </x:c>
      <x:c r="H434" s="58" t="str">
        <x:v>modeled_latent_ensemble</x:v>
      </x:c>
    </x:row>
    <x:row r="435" ht="15" hidden="0" customHeight="1">
      <x:c r="A435" s="60" t="n">
        <x:v>430</x:v>
      </x:c>
      <x:c r="B435" s="60" t="n">
        <x:v>8.854611259849841</x:v>
      </x:c>
      <x:c r="C435" s="60" t="n">
        <x:v>6.018814208454821</x:v>
      </x:c>
      <x:c r="D435" s="60" t="n">
        <x:v>4.916391380911146</x:v>
      </x:c>
      <x:c r="E435" s="60" t="n">
        <x:v>3.307574023346651</x:v>
      </x:c>
      <x:c r="F435" s="60" t="n">
        <x:v>6.302609127437542</x:v>
      </x:c>
      <x:c r="G435" s="60" t="n">
        <x:v>5.880000000000001</x:v>
      </x:c>
      <x:c r="H435" s="57" t="str">
        <x:v>modeled_latent_ensemble</x:v>
      </x:c>
    </x:row>
    <x:row r="436" ht="15" hidden="0" customHeight="1">
      <x:c r="A436" s="59" t="n">
        <x:v>431</x:v>
      </x:c>
      <x:c r="B436" s="59" t="n">
        <x:v>8.922980957839133</x:v>
      </x:c>
      <x:c r="C436" s="59" t="n">
        <x:v>5.8646431028757835</x:v>
      </x:c>
      <x:c r="D436" s="59" t="n">
        <x:v>4.821796644300566</x:v>
      </x:c>
      <x:c r="E436" s="59" t="n">
        <x:v>3.33343102790048</x:v>
      </x:c>
      <x:c r="F436" s="59" t="n">
        <x:v>6.457148267084039</x:v>
      </x:c>
      <x:c r="G436" s="59" t="n">
        <x:v>5.880000000000001</x:v>
      </x:c>
      <x:c r="H436" s="58" t="str">
        <x:v>modeled_latent_ensemble</x:v>
      </x:c>
    </x:row>
    <x:row r="437" ht="15" hidden="0" customHeight="1">
      <x:c r="A437" s="60" t="n">
        <x:v>432</x:v>
      </x:c>
      <x:c r="B437" s="60" t="n">
        <x:v>8.8790270454151</x:v>
      </x:c>
      <x:c r="C437" s="60" t="n">
        <x:v>6.101579689986726</x:v>
      </x:c>
      <x:c r="D437" s="60" t="n">
        <x:v>5.146423754155535</x:v>
      </x:c>
      <x:c r="E437" s="60" t="n">
        <x:v>2.816576185058006</x:v>
      </x:c>
      <x:c r="F437" s="60" t="n">
        <x:v>6.456393325384635</x:v>
      </x:c>
      <x:c r="G437" s="60" t="n">
        <x:v>5.880000000000001</x:v>
      </x:c>
      <x:c r="H437" s="57" t="str">
        <x:v>modeled_latent_ensemble</x:v>
      </x:c>
    </x:row>
    <x:row r="438" ht="15" hidden="0" customHeight="1">
      <x:c r="A438" s="59" t="n">
        <x:v>433</x:v>
      </x:c>
      <x:c r="B438" s="59" t="n">
        <x:v>8.942911537860192</x:v>
      </x:c>
      <x:c r="C438" s="59" t="n">
        <x:v>6.034819957907628</x:v>
      </x:c>
      <x:c r="D438" s="59" t="n">
        <x:v>4.904259067634442</x:v>
      </x:c>
      <x:c r="E438" s="59" t="n">
        <x:v>2.883515721974524</x:v>
      </x:c>
      <x:c r="F438" s="59" t="n">
        <x:v>6.634493714623216</x:v>
      </x:c>
      <x:c r="G438" s="59" t="n">
        <x:v>5.880000000000001</x:v>
      </x:c>
      <x:c r="H438" s="58" t="str">
        <x:v>modeled_latent_ensemble</x:v>
      </x:c>
    </x:row>
    <x:row r="439" ht="15" hidden="0" customHeight="1">
      <x:c r="A439" s="60" t="n">
        <x:v>434</x:v>
      </x:c>
      <x:c r="B439" s="60" t="n">
        <x:v>8.789042360232274</x:v>
      </x:c>
      <x:c r="C439" s="60" t="n">
        <x:v>6.009496724274724</x:v>
      </x:c>
      <x:c r="D439" s="60" t="n">
        <x:v>5.071459024911648</x:v>
      </x:c>
      <x:c r="E439" s="60" t="n">
        <x:v>2.9566758811502654</x:v>
      </x:c>
      <x:c r="F439" s="60" t="n">
        <x:v>6.573326009431089</x:v>
      </x:c>
      <x:c r="G439" s="60" t="n">
        <x:v>5.88</x:v>
      </x:c>
      <x:c r="H439" s="57" t="str">
        <x:v>modeled_latent_ensemble</x:v>
      </x:c>
    </x:row>
    <x:row r="440" ht="15" hidden="0" customHeight="1">
      <x:c r="A440" s="59" t="n">
        <x:v>435</x:v>
      </x:c>
      <x:c r="B440" s="59" t="n">
        <x:v>8.954797115194118</x:v>
      </x:c>
      <x:c r="C440" s="59" t="n">
        <x:v>6.052128530753182</x:v>
      </x:c>
      <x:c r="D440" s="59" t="n">
        <x:v>5.113260487795738</x:v>
      </x:c>
      <x:c r="E440" s="59" t="n">
        <x:v>2.6139613008854283</x:v>
      </x:c>
      <x:c r="F440" s="59" t="n">
        <x:v>6.665852565371535</x:v>
      </x:c>
      <x:c r="G440" s="59" t="n">
        <x:v>5.880000000000001</x:v>
      </x:c>
      <x:c r="H440" s="58" t="str">
        <x:v>modeled_latent_ensemble</x:v>
      </x:c>
    </x:row>
    <x:row r="441" ht="15" hidden="0" customHeight="1">
      <x:c r="A441" s="60" t="n">
        <x:v>436</x:v>
      </x:c>
      <x:c r="B441" s="60" t="n">
        <x:v>8.855333436485505</x:v>
      </x:c>
      <x:c r="C441" s="60" t="n">
        <x:v>6.021496864222749</x:v>
      </x:c>
      <x:c r="D441" s="60" t="n">
        <x:v>5.164852713359227</x:v>
      </x:c>
      <x:c r="E441" s="60" t="n">
        <x:v>2.8473153733921546</x:v>
      </x:c>
      <x:c r="F441" s="60" t="n">
        <x:v>6.511001612540365</x:v>
      </x:c>
      <x:c r="G441" s="60" t="n">
        <x:v>5.880000000000001</x:v>
      </x:c>
      <x:c r="H441" s="57" t="str">
        <x:v>modeled_latent_ensemble</x:v>
      </x:c>
    </x:row>
    <x:row r="442" ht="15" hidden="0" customHeight="1">
      <x:c r="A442" s="59" t="n">
        <x:v>437</x:v>
      </x:c>
      <x:c r="B442" s="59" t="n">
        <x:v>8.911483187959556</x:v>
      </x:c>
      <x:c r="C442" s="59" t="n">
        <x:v>6.041543079090406</x:v>
      </x:c>
      <x:c r="D442" s="59" t="n">
        <x:v>5.046170754372077</x:v>
      </x:c>
      <x:c r="E442" s="59" t="n">
        <x:v>3.0163723187972584</x:v>
      </x:c>
      <x:c r="F442" s="59" t="n">
        <x:v>6.384430659780704</x:v>
      </x:c>
      <x:c r="G442" s="59" t="n">
        <x:v>5.880000000000001</x:v>
      </x:c>
      <x:c r="H442" s="58" t="str">
        <x:v>modeled_latent_ensemble</x:v>
      </x:c>
    </x:row>
    <x:row r="443" ht="15" hidden="0" customHeight="1">
      <x:c r="A443" s="60" t="n">
        <x:v>438</x:v>
      </x:c>
      <x:c r="B443" s="60" t="n">
        <x:v>8.738578306301566</x:v>
      </x:c>
      <x:c r="C443" s="60" t="n">
        <x:v>6.024286569756569</x:v>
      </x:c>
      <x:c r="D443" s="60" t="n">
        <x:v>5.091485515304946</x:v>
      </x:c>
      <x:c r="E443" s="60" t="n">
        <x:v>3.303635355016159</x:v>
      </x:c>
      <x:c r="F443" s="60" t="n">
        <x:v>6.242014253620761</x:v>
      </x:c>
      <x:c r="G443" s="60" t="n">
        <x:v>5.88</x:v>
      </x:c>
      <x:c r="H443" s="57" t="str">
        <x:v>modeled_latent_ensemble</x:v>
      </x:c>
    </x:row>
    <x:row r="444" ht="15" hidden="0" customHeight="1">
      <x:c r="A444" s="59" t="n">
        <x:v>439</x:v>
      </x:c>
      <x:c r="B444" s="59" t="n">
        <x:v>8.83857566351797</x:v>
      </x:c>
      <x:c r="C444" s="59" t="n">
        <x:v>6.010962492411195</x:v>
      </x:c>
      <x:c r="D444" s="59" t="n">
        <x:v>5.005740687934212</x:v>
      </x:c>
      <x:c r="E444" s="59" t="n">
        <x:v>3.378869209633683</x:v>
      </x:c>
      <x:c r="F444" s="59" t="n">
        <x:v>6.165851946502942</x:v>
      </x:c>
      <x:c r="G444" s="59" t="n">
        <x:v>5.88</x:v>
      </x:c>
      <x:c r="H444" s="58" t="str">
        <x:v>modeled_latent_ensemble</x:v>
      </x:c>
    </x:row>
    <x:row r="445" ht="15" hidden="0" customHeight="1">
      <x:c r="A445" s="60" t="n">
        <x:v>440</x:v>
      </x:c>
      <x:c r="B445" s="60" t="n">
        <x:v>8.904689185183692</x:v>
      </x:c>
      <x:c r="C445" s="60" t="n">
        <x:v>6.193061355510404</x:v>
      </x:c>
      <x:c r="D445" s="60" t="n">
        <x:v>5.13492620273031</x:v>
      </x:c>
      <x:c r="E445" s="60" t="n">
        <x:v>2.976577807704336</x:v>
      </x:c>
      <x:c r="F445" s="60" t="n">
        <x:v>6.190745448871258</x:v>
      </x:c>
      <x:c r="G445" s="60" t="n">
        <x:v>5.880000000000001</x:v>
      </x:c>
      <x:c r="H445" s="57" t="str">
        <x:v>modeled_latent_ensemble</x:v>
      </x:c>
    </x:row>
    <x:row r="446" ht="15" hidden="0" customHeight="1">
      <x:c r="A446" s="59" t="n">
        <x:v>441</x:v>
      </x:c>
      <x:c r="B446" s="59" t="n">
        <x:v>8.967866824344188</x:v>
      </x:c>
      <x:c r="C446" s="59" t="n">
        <x:v>6.116542174234408</x:v>
      </x:c>
      <x:c r="D446" s="59" t="n">
        <x:v>5.070635068246195</x:v>
      </x:c>
      <x:c r="E446" s="59" t="n">
        <x:v>3.0227455178345495</x:v>
      </x:c>
      <x:c r="F446" s="59" t="n">
        <x:v>6.222210415340661</x:v>
      </x:c>
      <x:c r="G446" s="59" t="n">
        <x:v>5.880000000000001</x:v>
      </x:c>
      <x:c r="H446" s="58" t="str">
        <x:v>modeled_latent_ensemble</x:v>
      </x:c>
    </x:row>
    <x:row r="447" ht="15" hidden="0" customHeight="1">
      <x:c r="A447" s="60" t="n">
        <x:v>442</x:v>
      </x:c>
      <x:c r="B447" s="60" t="n">
        <x:v>8.846399295221369</x:v>
      </x:c>
      <x:c r="C447" s="60" t="n">
        <x:v>5.954904848584914</x:v>
      </x:c>
      <x:c r="D447" s="60" t="n">
        <x:v>5.177332225117622</x:v>
      </x:c>
      <x:c r="E447" s="60" t="n">
        <x:v>2.9732210877816945</x:v>
      </x:c>
      <x:c r="F447" s="60" t="n">
        <x:v>6.448142543294401</x:v>
      </x:c>
      <x:c r="G447" s="60" t="n">
        <x:v>5.880000000000001</x:v>
      </x:c>
      <x:c r="H447" s="57" t="str">
        <x:v>modeled_latent_ensemble</x:v>
      </x:c>
    </x:row>
    <x:row r="448" ht="15" hidden="0" customHeight="1">
      <x:c r="A448" s="59" t="n">
        <x:v>443</x:v>
      </x:c>
      <x:c r="B448" s="59" t="n">
        <x:v>9.013540353576403</x:v>
      </x:c>
      <x:c r="C448" s="59" t="n">
        <x:v>6.008761151265146</x:v>
      </x:c>
      <x:c r="D448" s="59" t="n">
        <x:v>4.996034943084167</x:v>
      </x:c>
      <x:c r="E448" s="59" t="n">
        <x:v>2.9576105796419028</x:v>
      </x:c>
      <x:c r="F448" s="59" t="n">
        <x:v>6.424052972432383</x:v>
      </x:c>
      <x:c r="G448" s="59" t="n">
        <x:v>5.88</x:v>
      </x:c>
      <x:c r="H448" s="58" t="str">
        <x:v>modeled_latent_ensemble</x:v>
      </x:c>
    </x:row>
    <x:row r="449" ht="15" hidden="0" customHeight="1">
      <x:c r="A449" s="60" t="n">
        <x:v>444</x:v>
      </x:c>
      <x:c r="B449" s="60" t="n">
        <x:v>8.89107416811968</x:v>
      </x:c>
      <x:c r="C449" s="60" t="n">
        <x:v>6.025443806906297</x:v>
      </x:c>
      <x:c r="D449" s="60" t="n">
        <x:v>5.150756259724194</x:v>
      </x:c>
      <x:c r="E449" s="60" t="n">
        <x:v>2.955119269146344</x:v>
      </x:c>
      <x:c r="F449" s="60" t="n">
        <x:v>6.377606496103487</x:v>
      </x:c>
      <x:c r="G449" s="60" t="n">
        <x:v>5.880000000000001</x:v>
      </x:c>
      <x:c r="H449" s="57" t="str">
        <x:v>modeled_latent_ensemble</x:v>
      </x:c>
    </x:row>
    <x:row r="450" ht="15" hidden="0" customHeight="1">
      <x:c r="A450" s="59" t="n">
        <x:v>445</x:v>
      </x:c>
      <x:c r="B450" s="59" t="n">
        <x:v>8.941103003049827</x:v>
      </x:c>
      <x:c r="C450" s="59" t="n">
        <x:v>6.004867427053829</x:v>
      </x:c>
      <x:c r="D450" s="59" t="n">
        <x:v>5.064637337249094</x:v>
      </x:c>
      <x:c r="E450" s="59" t="n">
        <x:v>3.2128287113917753</x:v>
      </x:c>
      <x:c r="F450" s="59" t="n">
        <x:v>6.176563521255475</x:v>
      </x:c>
      <x:c r="G450" s="59" t="n">
        <x:v>5.880000000000001</x:v>
      </x:c>
      <x:c r="H450" s="58" t="str">
        <x:v>modeled_latent_ensemble</x:v>
      </x:c>
    </x:row>
    <x:row r="451" ht="15" hidden="0" customHeight="1">
      <x:c r="A451" s="60" t="n">
        <x:v>446</x:v>
      </x:c>
      <x:c r="B451" s="60" t="n">
        <x:v>8.875174357818038</x:v>
      </x:c>
      <x:c r="C451" s="60" t="n">
        <x:v>5.965497673151005</x:v>
      </x:c>
      <x:c r="D451" s="60" t="n">
        <x:v>5.152787888041296</x:v>
      </x:c>
      <x:c r="E451" s="60" t="n">
        <x:v>3.0996216421023237</x:v>
      </x:c>
      <x:c r="F451" s="60" t="n">
        <x:v>6.306918438887339</x:v>
      </x:c>
      <x:c r="G451" s="60" t="n">
        <x:v>5.880000000000001</x:v>
      </x:c>
      <x:c r="H451" s="57" t="str">
        <x:v>modeled_latent_ensemble</x:v>
      </x:c>
    </x:row>
    <x:row r="452" ht="15" hidden="0" customHeight="1">
      <x:c r="A452" s="59" t="n">
        <x:v>447</x:v>
      </x:c>
      <x:c r="B452" s="59" t="n">
        <x:v>8.722232771762851</x:v>
      </x:c>
      <x:c r="C452" s="59" t="n">
        <x:v>6.018471032156285</x:v>
      </x:c>
      <x:c r="D452" s="59" t="n">
        <x:v>4.99453269213063</x:v>
      </x:c>
      <x:c r="E452" s="59" t="n">
        <x:v>3.347003216282469</x:v>
      </x:c>
      <x:c r="F452" s="59" t="n">
        <x:v>6.317760287667766</x:v>
      </x:c>
      <x:c r="G452" s="59" t="n">
        <x:v>5.880000000000001</x:v>
      </x:c>
      <x:c r="H452" s="58" t="str">
        <x:v>modeled_latent_ensemble</x:v>
      </x:c>
    </x:row>
    <x:row r="453" ht="15" hidden="0" customHeight="1">
      <x:c r="A453" s="60" t="n">
        <x:v>448</x:v>
      </x:c>
      <x:c r="B453" s="60" t="n">
        <x:v>8.980209492255101</x:v>
      </x:c>
      <x:c r="C453" s="60" t="n">
        <x:v>6.124534672130332</x:v>
      </x:c>
      <x:c r="D453" s="60" t="n">
        <x:v>5.180387417193836</x:v>
      </x:c>
      <x:c r="E453" s="60" t="n">
        <x:v>2.8894675660730194</x:v>
      </x:c>
      <x:c r="F453" s="60" t="n">
        <x:v>6.225400852347713</x:v>
      </x:c>
      <x:c r="G453" s="60" t="n">
        <x:v>5.880000000000001</x:v>
      </x:c>
      <x:c r="H453" s="57" t="str">
        <x:v>modeled_latent_ensemble</x:v>
      </x:c>
    </x:row>
    <x:row r="454" ht="15" hidden="0" customHeight="1">
      <x:c r="A454" s="59" t="n">
        <x:v>449</x:v>
      </x:c>
      <x:c r="B454" s="59" t="n">
        <x:v>8.882476283906927</x:v>
      </x:c>
      <x:c r="C454" s="59" t="n">
        <x:v>6.131211606505526</x:v>
      </x:c>
      <x:c r="D454" s="59" t="n">
        <x:v>5.015075178970791</x:v>
      </x:c>
      <x:c r="E454" s="59" t="n">
        <x:v>3.215203339655849</x:v>
      </x:c>
      <x:c r="F454" s="59" t="n">
        <x:v>6.156033590960908</x:v>
      </x:c>
      <x:c r="G454" s="59" t="n">
        <x:v>5.88</x:v>
      </x:c>
      <x:c r="H454" s="58" t="str">
        <x:v>modeled_latent_ensemble</x:v>
      </x:c>
    </x:row>
    <x:row r="455" ht="15" hidden="0" customHeight="1">
      <x:c r="A455" s="60" t="n">
        <x:v>450</x:v>
      </x:c>
      <x:c r="B455" s="60" t="n">
        <x:v>8.816569918082035</x:v>
      </x:c>
      <x:c r="C455" s="60" t="n">
        <x:v>5.8836978210817215</x:v>
      </x:c>
      <x:c r="D455" s="60" t="n">
        <x:v>4.921259093889677</x:v>
      </x:c>
      <x:c r="E455" s="60" t="n">
        <x:v>3.4819035470059605</x:v>
      </x:c>
      <x:c r="F455" s="60" t="n">
        <x:v>6.296569619940607</x:v>
      </x:c>
      <x:c r="G455" s="60" t="n">
        <x:v>5.88</x:v>
      </x:c>
      <x:c r="H455" s="57" t="str">
        <x:v>modeled_latent_ensemble</x:v>
      </x:c>
    </x:row>
    <x:row r="456" ht="15" hidden="0" customHeight="1">
      <x:c r="A456" s="59" t="n">
        <x:v>451</x:v>
      </x:c>
      <x:c r="B456" s="59" t="n">
        <x:v>8.814625492505613</x:v>
      </x:c>
      <x:c r="C456" s="59" t="n">
        <x:v>5.923433085790508</x:v>
      </x:c>
      <x:c r="D456" s="59" t="n">
        <x:v>5.124642069745316</x:v>
      </x:c>
      <x:c r="E456" s="59" t="n">
        <x:v>3.09009665574369</x:v>
      </x:c>
      <x:c r="F456" s="59" t="n">
        <x:v>6.447202696214875</x:v>
      </x:c>
      <x:c r="G456" s="59" t="n">
        <x:v>5.88</x:v>
      </x:c>
      <x:c r="H456" s="58" t="str">
        <x:v>modeled_latent_ensemble</x:v>
      </x:c>
    </x:row>
    <x:row r="457" ht="15" hidden="0" customHeight="1">
      <x:c r="A457" s="60" t="n">
        <x:v>452</x:v>
      </x:c>
      <x:c r="B457" s="60" t="n">
        <x:v>8.88160776012559</x:v>
      </x:c>
      <x:c r="C457" s="60" t="n">
        <x:v>6.067728726928436</x:v>
      </x:c>
      <x:c r="D457" s="60" t="n">
        <x:v>5.034539915392088</x:v>
      </x:c>
      <x:c r="E457" s="60" t="n">
        <x:v>3.163004778186367</x:v>
      </x:c>
      <x:c r="F457" s="60" t="n">
        <x:v>6.253118819367521</x:v>
      </x:c>
      <x:c r="G457" s="60" t="n">
        <x:v>5.880000000000001</x:v>
      </x:c>
      <x:c r="H457" s="57" t="str">
        <x:v>modeled_latent_ensemble</x:v>
      </x:c>
    </x:row>
    <x:row r="458" ht="15" hidden="0" customHeight="1">
      <x:c r="A458" s="59" t="n">
        <x:v>453</x:v>
      </x:c>
      <x:c r="B458" s="59" t="n">
        <x:v>8.778947568947952</x:v>
      </x:c>
      <x:c r="C458" s="59" t="n">
        <x:v>6.059909710367883</x:v>
      </x:c>
      <x:c r="D458" s="59" t="n">
        <x:v>5.329057554638283</x:v>
      </x:c>
      <x:c r="E458" s="59" t="n">
        <x:v>3.021544680615861</x:v>
      </x:c>
      <x:c r="F458" s="59" t="n">
        <x:v>6.210540485430023</x:v>
      </x:c>
      <x:c r="G458" s="59" t="n">
        <x:v>5.880000000000001</x:v>
      </x:c>
      <x:c r="H458" s="58" t="str">
        <x:v>modeled_latent_ensemble</x:v>
      </x:c>
    </x:row>
    <x:row r="459" ht="15" hidden="0" customHeight="1">
      <x:c r="A459" s="60" t="n">
        <x:v>454</x:v>
      </x:c>
      <x:c r="B459" s="60" t="n">
        <x:v>8.810734059597804</x:v>
      </x:c>
      <x:c r="C459" s="60" t="n">
        <x:v>6.031174150178053</x:v>
      </x:c>
      <x:c r="D459" s="60" t="n">
        <x:v>4.9899208531677015</x:v>
      </x:c>
      <x:c r="E459" s="60" t="n">
        <x:v>3.2548658435984867</x:v>
      </x:c>
      <x:c r="F459" s="60" t="n">
        <x:v>6.313305093457956</x:v>
      </x:c>
      <x:c r="G459" s="60" t="n">
        <x:v>5.880000000000001</x:v>
      </x:c>
      <x:c r="H459" s="57" t="str">
        <x:v>modeled_latent_ensemble</x:v>
      </x:c>
    </x:row>
    <x:row r="460" ht="15" hidden="0" customHeight="1">
      <x:c r="A460" s="59" t="n">
        <x:v>455</x:v>
      </x:c>
      <x:c r="B460" s="59" t="n">
        <x:v>8.763330178440476</x:v>
      </x:c>
      <x:c r="C460" s="59" t="n">
        <x:v>5.904291813492551</x:v>
      </x:c>
      <x:c r="D460" s="59" t="n">
        <x:v>5.13657517519568</x:v>
      </x:c>
      <x:c r="E460" s="59" t="n">
        <x:v>3.3217773258368117</x:v>
      </x:c>
      <x:c r="F460" s="59" t="n">
        <x:v>6.274025507034483</x:v>
      </x:c>
      <x:c r="G460" s="59" t="n">
        <x:v>5.880000000000001</x:v>
      </x:c>
      <x:c r="H460" s="58" t="str">
        <x:v>modeled_latent_ensemble</x:v>
      </x:c>
    </x:row>
    <x:row r="461" ht="15" hidden="0" customHeight="1">
      <x:c r="A461" s="60" t="n">
        <x:v>456</x:v>
      </x:c>
      <x:c r="B461" s="60" t="n">
        <x:v>8.916279891564614</x:v>
      </x:c>
      <x:c r="C461" s="60" t="n">
        <x:v>5.982394124659523</x:v>
      </x:c>
      <x:c r="D461" s="60" t="n">
        <x:v>5.107047939820327</x:v>
      </x:c>
      <x:c r="E461" s="60" t="n">
        <x:v>2.827728729083972</x:v>
      </x:c>
      <x:c r="F461" s="60" t="n">
        <x:v>6.566549314871566</x:v>
      </x:c>
      <x:c r="G461" s="60" t="n">
        <x:v>5.880000000000001</x:v>
      </x:c>
      <x:c r="H461" s="57" t="str">
        <x:v>modeled_latent_ensemble</x:v>
      </x:c>
    </x:row>
    <x:row r="462" ht="15" hidden="0" customHeight="1">
      <x:c r="A462" s="59" t="n">
        <x:v>457</x:v>
      </x:c>
      <x:c r="B462" s="59" t="n">
        <x:v>8.82930831343101</x:v>
      </x:c>
      <x:c r="C462" s="59" t="n">
        <x:v>5.987962551154532</x:v>
      </x:c>
      <x:c r="D462" s="59" t="n">
        <x:v>5.084998496493202</x:v>
      </x:c>
      <x:c r="E462" s="59" t="n">
        <x:v>3.164068264037591</x:v>
      </x:c>
      <x:c r="F462" s="59" t="n">
        <x:v>6.333662374883667</x:v>
      </x:c>
      <x:c r="G462" s="59" t="n">
        <x:v>5.880000000000001</x:v>
      </x:c>
      <x:c r="H462" s="58" t="str">
        <x:v>modeled_latent_ensemble</x:v>
      </x:c>
    </x:row>
    <x:row r="463" ht="15" hidden="0" customHeight="1">
      <x:c r="A463" s="60" t="n">
        <x:v>458</x:v>
      </x:c>
      <x:c r="B463" s="60" t="n">
        <x:v>8.906799904086789</x:v>
      </x:c>
      <x:c r="C463" s="60" t="n">
        <x:v>5.934442248429415</x:v>
      </x:c>
      <x:c r="D463" s="60" t="n">
        <x:v>5.042260637083652</x:v>
      </x:c>
      <x:c r="E463" s="60" t="n">
        <x:v>3.2863065965074476</x:v>
      </x:c>
      <x:c r="F463" s="60" t="n">
        <x:v>6.230190613892698</x:v>
      </x:c>
      <x:c r="G463" s="60" t="n">
        <x:v>5.880000000000001</x:v>
      </x:c>
      <x:c r="H463" s="57" t="str">
        <x:v>modeled_latent_ensemble</x:v>
      </x:c>
    </x:row>
    <x:row r="464" ht="15" hidden="0" customHeight="1">
      <x:c r="A464" s="59" t="n">
        <x:v>459</x:v>
      </x:c>
      <x:c r="B464" s="59" t="n">
        <x:v>8.902209717367436</x:v>
      </x:c>
      <x:c r="C464" s="59" t="n">
        <x:v>6.095882457111987</x:v>
      </x:c>
      <x:c r="D464" s="59" t="n">
        <x:v>5.176407778281646</x:v>
      </x:c>
      <x:c r="E464" s="59" t="n">
        <x:v>2.938501491437616</x:v>
      </x:c>
      <x:c r="F464" s="59" t="n">
        <x:v>6.286998555801317</x:v>
      </x:c>
      <x:c r="G464" s="59" t="n">
        <x:v>5.88</x:v>
      </x:c>
      <x:c r="H464" s="58" t="str">
        <x:v>modeled_latent_ensemble</x:v>
      </x:c>
    </x:row>
    <x:row r="465" ht="15" hidden="0" customHeight="1">
      <x:c r="A465" s="60" t="n">
        <x:v>460</x:v>
      </x:c>
      <x:c r="B465" s="60" t="n">
        <x:v>8.755496684162702</x:v>
      </x:c>
      <x:c r="C465" s="60" t="n">
        <x:v>5.949104138308858</x:v>
      </x:c>
      <x:c r="D465" s="60" t="n">
        <x:v>4.917278215187206</x:v>
      </x:c>
      <x:c r="E465" s="60" t="n">
        <x:v>3.1905852652552955</x:v>
      </x:c>
      <x:c r="F465" s="60" t="n">
        <x:v>6.58753569708594</x:v>
      </x:c>
      <x:c r="G465" s="60" t="n">
        <x:v>5.88</x:v>
      </x:c>
      <x:c r="H465" s="57" t="str">
        <x:v>modeled_latent_ensemble</x:v>
      </x:c>
    </x:row>
    <x:row r="466" ht="15" hidden="0" customHeight="1">
      <x:c r="A466" s="59" t="n">
        <x:v>461</x:v>
      </x:c>
      <x:c r="B466" s="59" t="n">
        <x:v>8.971126483883022</x:v>
      </x:c>
      <x:c r="C466" s="59" t="n">
        <x:v>6.124328153694811</x:v>
      </x:c>
      <x:c r="D466" s="59" t="n">
        <x:v>5.30084330169749</x:v>
      </x:c>
      <x:c r="E466" s="59" t="n">
        <x:v>2.8174888807673124</x:v>
      </x:c>
      <x:c r="F466" s="59" t="n">
        <x:v>6.186213179957366</x:v>
      </x:c>
      <x:c r="G466" s="59" t="n">
        <x:v>5.880000000000001</x:v>
      </x:c>
      <x:c r="H466" s="58" t="str">
        <x:v>modeled_latent_ensemble</x:v>
      </x:c>
    </x:row>
    <x:row r="467" ht="15" hidden="0" customHeight="1">
      <x:c r="A467" s="60" t="n">
        <x:v>462</x:v>
      </x:c>
      <x:c r="B467" s="60" t="n">
        <x:v>8.938324691448155</x:v>
      </x:c>
      <x:c r="C467" s="60" t="n">
        <x:v>5.969322352927726</x:v>
      </x:c>
      <x:c r="D467" s="60" t="n">
        <x:v>5.258731901834662</x:v>
      </x:c>
      <x:c r="E467" s="60" t="n">
        <x:v>3.027952363182171</x:v>
      </x:c>
      <x:c r="F467" s="60" t="n">
        <x:v>6.205668690607286</x:v>
      </x:c>
      <x:c r="G467" s="60" t="n">
        <x:v>5.88</x:v>
      </x:c>
      <x:c r="H467" s="57" t="str">
        <x:v>modeled_latent_ensemble</x:v>
      </x:c>
    </x:row>
    <x:row r="468" ht="15" hidden="0" customHeight="1">
      <x:c r="A468" s="59" t="n">
        <x:v>463</x:v>
      </x:c>
      <x:c r="B468" s="59" t="n">
        <x:v>9.021719056254792</x:v>
      </x:c>
      <x:c r="C468" s="59" t="n">
        <x:v>6.097820372433953</x:v>
      </x:c>
      <x:c r="D468" s="59" t="n">
        <x:v>5.148467746842717</x:v>
      </x:c>
      <x:c r="E468" s="59" t="n">
        <x:v>2.744453007331742</x:v>
      </x:c>
      <x:c r="F468" s="59" t="n">
        <x:v>6.3875398171367985</x:v>
      </x:c>
      <x:c r="G468" s="59" t="n">
        <x:v>5.880000000000001</x:v>
      </x:c>
      <x:c r="H468" s="58" t="str">
        <x:v>modeled_latent_ensemble</x:v>
      </x:c>
    </x:row>
    <x:row r="469" ht="15" hidden="0" customHeight="1">
      <x:c r="A469" s="60" t="n">
        <x:v>464</x:v>
      </x:c>
      <x:c r="B469" s="60" t="n">
        <x:v>8.956330139648333</x:v>
      </x:c>
      <x:c r="C469" s="60" t="n">
        <x:v>6.113383501500359</x:v>
      </x:c>
      <x:c r="D469" s="60" t="n">
        <x:v>5.049781678708286</x:v>
      </x:c>
      <x:c r="E469" s="60" t="n">
        <x:v>2.938321593195442</x:v>
      </x:c>
      <x:c r="F469" s="60" t="n">
        <x:v>6.342183086947582</x:v>
      </x:c>
      <x:c r="G469" s="60" t="n">
        <x:v>5.880000000000001</x:v>
      </x:c>
      <x:c r="H469" s="57" t="str">
        <x:v>modeled_latent_ensemble</x:v>
      </x:c>
    </x:row>
    <x:row r="470" ht="15" hidden="0" customHeight="1">
      <x:c r="A470" s="59" t="n">
        <x:v>465</x:v>
      </x:c>
      <x:c r="B470" s="59" t="n">
        <x:v>8.938323981952554</x:v>
      </x:c>
      <x:c r="C470" s="59" t="n">
        <x:v>6.043582041523271</x:v>
      </x:c>
      <x:c r="D470" s="59" t="n">
        <x:v>4.857892576931723</x:v>
      </x:c>
      <x:c r="E470" s="59" t="n">
        <x:v>2.942912842872235</x:v>
      </x:c>
      <x:c r="F470" s="59" t="n">
        <x:v>6.617288556720219</x:v>
      </x:c>
      <x:c r="G470" s="59" t="n">
        <x:v>5.880000000000001</x:v>
      </x:c>
      <x:c r="H470" s="58" t="str">
        <x:v>modeled_latent_ensemble</x:v>
      </x:c>
    </x:row>
    <x:row r="471" ht="15" hidden="0" customHeight="1">
      <x:c r="A471" s="60" t="n">
        <x:v>466</x:v>
      </x:c>
      <x:c r="B471" s="60" t="n">
        <x:v>8.927543133813495</x:v>
      </x:c>
      <x:c r="C471" s="60" t="n">
        <x:v>6.127757000315686</x:v>
      </x:c>
      <x:c r="D471" s="60" t="n">
        <x:v>5.189055641142862</x:v>
      </x:c>
      <x:c r="E471" s="60" t="n">
        <x:v>2.936652992281761</x:v>
      </x:c>
      <x:c r="F471" s="60" t="n">
        <x:v>6.218991232446196</x:v>
      </x:c>
      <x:c r="G471" s="60" t="n">
        <x:v>5.880000000000001</x:v>
      </x:c>
      <x:c r="H471" s="57" t="str">
        <x:v>modeled_latent_ensemble</x:v>
      </x:c>
    </x:row>
    <x:row r="472" ht="15" hidden="0" customHeight="1">
      <x:c r="A472" s="59" t="n">
        <x:v>467</x:v>
      </x:c>
      <x:c r="B472" s="59" t="n">
        <x:v>8.868558967332849</x:v>
      </x:c>
      <x:c r="C472" s="59" t="n">
        <x:v>6.144449981037752</x:v>
      </x:c>
      <x:c r="D472" s="59" t="n">
        <x:v>5.278539462788024</x:v>
      </x:c>
      <x:c r="E472" s="59" t="n">
        <x:v>2.651491396724127</x:v>
      </x:c>
      <x:c r="F472" s="59" t="n">
        <x:v>6.45696019211725</x:v>
      </x:c>
      <x:c r="G472" s="59" t="n">
        <x:v>5.880000000000001</x:v>
      </x:c>
      <x:c r="H472" s="58" t="str">
        <x:v>modeled_latent_ensemble</x:v>
      </x:c>
    </x:row>
    <x:row r="473" ht="15" hidden="0" customHeight="1">
      <x:c r="A473" s="60" t="n">
        <x:v>468</x:v>
      </x:c>
      <x:c r="B473" s="60" t="n">
        <x:v>8.941768991949338</x:v>
      </x:c>
      <x:c r="C473" s="60" t="n">
        <x:v>5.989804503153345</x:v>
      </x:c>
      <x:c r="D473" s="60" t="n">
        <x:v>5.048954718205473</x:v>
      </x:c>
      <x:c r="E473" s="60" t="n">
        <x:v>2.777855434050064</x:v>
      </x:c>
      <x:c r="F473" s="60" t="n">
        <x:v>6.6416163526417815</x:v>
      </x:c>
      <x:c r="G473" s="60" t="n">
        <x:v>5.88</x:v>
      </x:c>
      <x:c r="H473" s="57" t="str">
        <x:v>modeled_latent_ensemble</x:v>
      </x:c>
    </x:row>
    <x:row r="474" ht="15" hidden="0" customHeight="1">
      <x:c r="A474" s="59" t="n">
        <x:v>469</x:v>
      </x:c>
      <x:c r="B474" s="59" t="n">
        <x:v>8.893235592370793</x:v>
      </x:c>
      <x:c r="C474" s="59" t="n">
        <x:v>5.987836685998986</x:v>
      </x:c>
      <x:c r="D474" s="59" t="n">
        <x:v>5.053282696627374</x:v>
      </x:c>
      <x:c r="E474" s="59" t="n">
        <x:v>2.818520536867189</x:v>
      </x:c>
      <x:c r="F474" s="59" t="n">
        <x:v>6.647124488135659</x:v>
      </x:c>
      <x:c r="G474" s="59" t="n">
        <x:v>5.880000000000001</x:v>
      </x:c>
      <x:c r="H474" s="58" t="str">
        <x:v>modeled_latent_ensemble</x:v>
      </x:c>
    </x:row>
    <x:row r="475" ht="15" hidden="0" customHeight="1">
      <x:c r="A475" s="60" t="n">
        <x:v>470</x:v>
      </x:c>
      <x:c r="B475" s="60" t="n">
        <x:v>8.809751828601641</x:v>
      </x:c>
      <x:c r="C475" s="60" t="n">
        <x:v>6.161641973563473</x:v>
      </x:c>
      <x:c r="D475" s="60" t="n">
        <x:v>4.867944597835063</x:v>
      </x:c>
      <x:c r="E475" s="60" t="n">
        <x:v>2.9613244271627663</x:v>
      </x:c>
      <x:c r="F475" s="60" t="n">
        <x:v>6.599337172837058</x:v>
      </x:c>
      <x:c r="G475" s="60" t="n">
        <x:v>5.88</x:v>
      </x:c>
      <x:c r="H475" s="57" t="str">
        <x:v>modeled_latent_ensemble</x:v>
      </x:c>
    </x:row>
    <x:row r="476" ht="15" hidden="0" customHeight="1">
      <x:c r="A476" s="59" t="n">
        <x:v>471</x:v>
      </x:c>
      <x:c r="B476" s="59" t="n">
        <x:v>8.790862633805578</x:v>
      </x:c>
      <x:c r="C476" s="59" t="n">
        <x:v>6.015910918325673</x:v>
      </x:c>
      <x:c r="D476" s="59" t="n">
        <x:v>4.992173592156381</x:v>
      </x:c>
      <x:c r="E476" s="59" t="n">
        <x:v>3.3858393100135626</x:v>
      </x:c>
      <x:c r="F476" s="59" t="n">
        <x:v>6.215213545698807</x:v>
      </x:c>
      <x:c r="G476" s="59" t="n">
        <x:v>5.88</x:v>
      </x:c>
      <x:c r="H476" s="58" t="str">
        <x:v>modeled_latent_ensemble</x:v>
      </x:c>
    </x:row>
    <x:row r="477" ht="15" hidden="0" customHeight="1">
      <x:c r="A477" s="60" t="n">
        <x:v>472</x:v>
      </x:c>
      <x:c r="B477" s="60" t="n">
        <x:v>8.874196268118572</x:v>
      </x:c>
      <x:c r="C477" s="60" t="n">
        <x:v>5.990424231196517</x:v>
      </x:c>
      <x:c r="D477" s="60" t="n">
        <x:v>5.127221048785239</x:v>
      </x:c>
      <x:c r="E477" s="60" t="n">
        <x:v>2.757120138109849</x:v>
      </x:c>
      <x:c r="F477" s="60" t="n">
        <x:v>6.651038313789823</x:v>
      </x:c>
      <x:c r="G477" s="60" t="n">
        <x:v>5.88</x:v>
      </x:c>
      <x:c r="H477" s="57" t="str">
        <x:v>modeled_latent_ensemble</x:v>
      </x:c>
    </x:row>
    <x:row r="478" ht="15" hidden="0" customHeight="1">
      <x:c r="A478" s="59" t="n">
        <x:v>473</x:v>
      </x:c>
      <x:c r="B478" s="59" t="n">
        <x:v>9.034317157364825</x:v>
      </x:c>
      <x:c r="C478" s="59" t="n">
        <x:v>5.940483753519407</x:v>
      </x:c>
      <x:c r="D478" s="59" t="n">
        <x:v>5.201476680135712</x:v>
      </x:c>
      <x:c r="E478" s="59" t="n">
        <x:v>2.881790783041387</x:v>
      </x:c>
      <x:c r="F478" s="59" t="n">
        <x:v>6.34193162593867</x:v>
      </x:c>
      <x:c r="G478" s="59" t="n">
        <x:v>5.88</x:v>
      </x:c>
      <x:c r="H478" s="58" t="str">
        <x:v>modeled_latent_ensemble</x:v>
      </x:c>
    </x:row>
    <x:row r="479" ht="15" hidden="0" customHeight="1">
      <x:c r="A479" s="60" t="n">
        <x:v>474</x:v>
      </x:c>
      <x:c r="B479" s="60" t="n">
        <x:v>8.987826839376444</x:v>
      </x:c>
      <x:c r="C479" s="60" t="n">
        <x:v>6.092517040449721</x:v>
      </x:c>
      <x:c r="D479" s="60" t="n">
        <x:v>5.0547165059080825</x:v>
      </x:c>
      <x:c r="E479" s="60" t="n">
        <x:v>2.692988756182552</x:v>
      </x:c>
      <x:c r="F479" s="60" t="n">
        <x:v>6.571950858083203</x:v>
      </x:c>
      <x:c r="G479" s="60" t="n">
        <x:v>5.880000000000001</x:v>
      </x:c>
      <x:c r="H479" s="57" t="str">
        <x:v>modeled_latent_ensemble</x:v>
      </x:c>
    </x:row>
    <x:row r="480" ht="15" hidden="0" customHeight="1">
      <x:c r="A480" s="59" t="n">
        <x:v>475</x:v>
      </x:c>
      <x:c r="B480" s="59" t="n">
        <x:v>8.868075444221159</x:v>
      </x:c>
      <x:c r="C480" s="59" t="n">
        <x:v>6.180294132894757</x:v>
      </x:c>
      <x:c r="D480" s="59" t="n">
        <x:v>5.1170406875986325</x:v>
      </x:c>
      <x:c r="E480" s="59" t="n">
        <x:v>2.647225730801867</x:v>
      </x:c>
      <x:c r="F480" s="59" t="n">
        <x:v>6.587364004483587</x:v>
      </x:c>
      <x:c r="G480" s="59" t="n">
        <x:v>5.880000000000001</x:v>
      </x:c>
      <x:c r="H480" s="58" t="str">
        <x:v>modeled_latent_ensemble</x:v>
      </x:c>
    </x:row>
    <x:row r="481" ht="15" hidden="0" customHeight="1">
      <x:c r="A481" s="60" t="n">
        <x:v>476</x:v>
      </x:c>
      <x:c r="B481" s="60" t="n">
        <x:v>8.962566259652508</x:v>
      </x:c>
      <x:c r="C481" s="60" t="n">
        <x:v>6.026845564044704</x:v>
      </x:c>
      <x:c r="D481" s="60" t="n">
        <x:v>5.120250377138585</x:v>
      </x:c>
      <x:c r="E481" s="60" t="n">
        <x:v>2.8759592714351143</x:v>
      </x:c>
      <x:c r="F481" s="60" t="n">
        <x:v>6.41437852772909</x:v>
      </x:c>
      <x:c r="G481" s="60" t="n">
        <x:v>5.88</x:v>
      </x:c>
      <x:c r="H481" s="57" t="str">
        <x:v>modeled_latent_ensemble</x:v>
      </x:c>
    </x:row>
    <x:row r="482" ht="15" hidden="0" customHeight="1">
      <x:c r="A482" s="59" t="n">
        <x:v>477</x:v>
      </x:c>
      <x:c r="B482" s="59" t="n">
        <x:v>8.940629475820993</x:v>
      </x:c>
      <x:c r="C482" s="59" t="n">
        <x:v>6.1526012192055</x:v>
      </x:c>
      <x:c r="D482" s="59" t="n">
        <x:v>4.972281334432058</x:v>
      </x:c>
      <x:c r="E482" s="59" t="n">
        <x:v>2.78821505219167</x:v>
      </x:c>
      <x:c r="F482" s="59" t="n">
        <x:v>6.546272918349781</x:v>
      </x:c>
      <x:c r="G482" s="59" t="n">
        <x:v>5.880000000000001</x:v>
      </x:c>
      <x:c r="H482" s="58" t="str">
        <x:v>modeled_latent_ensemble</x:v>
      </x:c>
    </x:row>
    <x:row r="483" ht="15" hidden="0" customHeight="1">
      <x:c r="A483" s="60" t="n">
        <x:v>478</x:v>
      </x:c>
      <x:c r="B483" s="60" t="n">
        <x:v>8.81481583100966</x:v>
      </x:c>
      <x:c r="C483" s="60" t="n">
        <x:v>6.131236070442828</x:v>
      </x:c>
      <x:c r="D483" s="60" t="n">
        <x:v>4.806225296648628</x:v>
      </x:c>
      <x:c r="E483" s="60" t="n">
        <x:v>3.228878273140264</x:v>
      </x:c>
      <x:c r="F483" s="60" t="n">
        <x:v>6.41884452875862</x:v>
      </x:c>
      <x:c r="G483" s="60" t="n">
        <x:v>5.88</x:v>
      </x:c>
      <x:c r="H483" s="57" t="str">
        <x:v>modeled_latent_ensemble</x:v>
      </x:c>
    </x:row>
    <x:row r="484" ht="15" hidden="0" customHeight="1">
      <x:c r="A484" s="59" t="n">
        <x:v>479</x:v>
      </x:c>
      <x:c r="B484" s="59" t="n">
        <x:v>8.865730850909397</x:v>
      </x:c>
      <x:c r="C484" s="59" t="n">
        <x:v>6.150237390191755</x:v>
      </x:c>
      <x:c r="D484" s="59" t="n">
        <x:v>4.996610345252067</x:v>
      </x:c>
      <x:c r="E484" s="59" t="n">
        <x:v>2.998246408506294</x:v>
      </x:c>
      <x:c r="F484" s="59" t="n">
        <x:v>6.389175005140489</x:v>
      </x:c>
      <x:c r="G484" s="59" t="n">
        <x:v>5.880000000000001</x:v>
      </x:c>
      <x:c r="H484" s="58" t="str">
        <x:v>modeled_latent_ensemble</x:v>
      </x:c>
    </x:row>
    <x:row r="485" ht="15" hidden="0" customHeight="1">
      <x:c r="A485" s="60" t="n">
        <x:v>480</x:v>
      </x:c>
      <x:c r="B485" s="60" t="n">
        <x:v>8.869081582172555</x:v>
      </x:c>
      <x:c r="C485" s="60" t="n">
        <x:v>6.096328206420758</x:v>
      </x:c>
      <x:c r="D485" s="60" t="n">
        <x:v>5.037228395302932</x:v>
      </x:c>
      <x:c r="E485" s="60" t="n">
        <x:v>3.0499500503244352</x:v>
      </x:c>
      <x:c r="F485" s="60" t="n">
        <x:v>6.347411765779322</x:v>
      </x:c>
      <x:c r="G485" s="60" t="n">
        <x:v>5.88</x:v>
      </x:c>
      <x:c r="H485" s="57" t="str">
        <x:v>modeled_latent_ensemble</x:v>
      </x:c>
    </x:row>
    <x:row r="486" ht="15" hidden="0" customHeight="1">
      <x:c r="A486" s="59" t="n">
        <x:v>481</x:v>
      </x:c>
      <x:c r="B486" s="59" t="n">
        <x:v>8.828240617196244</x:v>
      </x:c>
      <x:c r="C486" s="59" t="n">
        <x:v>5.954960616910231</x:v>
      </x:c>
      <x:c r="D486" s="59" t="n">
        <x:v>5.044230815902053</x:v>
      </x:c>
      <x:c r="E486" s="59" t="n">
        <x:v>3.2306009340842827</x:v>
      </x:c>
      <x:c r="F486" s="59" t="n">
        <x:v>6.341967015907191</x:v>
      </x:c>
      <x:c r="G486" s="59" t="n">
        <x:v>5.880000000000001</x:v>
      </x:c>
      <x:c r="H486" s="58" t="str">
        <x:v>modeled_latent_ensemble</x:v>
      </x:c>
    </x:row>
    <x:row r="487" ht="15" hidden="0" customHeight="1">
      <x:c r="A487" s="60" t="n">
        <x:v>482</x:v>
      </x:c>
      <x:c r="B487" s="60" t="n">
        <x:v>8.869029871920285</x:v>
      </x:c>
      <x:c r="C487" s="60" t="n">
        <x:v>6.014289565946533</x:v>
      </x:c>
      <x:c r="D487" s="60" t="n">
        <x:v>5.293484753554434</x:v>
      </x:c>
      <x:c r="E487" s="60" t="n">
        <x:v>2.6716284774387424</x:v>
      </x:c>
      <x:c r="F487" s="60" t="n">
        <x:v>6.5515673311400064</x:v>
      </x:c>
      <x:c r="G487" s="60" t="n">
        <x:v>5.88</x:v>
      </x:c>
      <x:c r="H487" s="57" t="str">
        <x:v>modeled_latent_ensemble</x:v>
      </x:c>
    </x:row>
    <x:row r="488" ht="15" hidden="0" customHeight="1">
      <x:c r="A488" s="59" t="n">
        <x:v>483</x:v>
      </x:c>
      <x:c r="B488" s="59" t="n">
        <x:v>8.86562512638137</x:v>
      </x:c>
      <x:c r="C488" s="59" t="n">
        <x:v>6.131546275014772</x:v>
      </x:c>
      <x:c r="D488" s="59" t="n">
        <x:v>4.873867970411233</x:v>
      </x:c>
      <x:c r="E488" s="59" t="n">
        <x:v>2.9560700724265874</x:v>
      </x:c>
      <x:c r="F488" s="59" t="n">
        <x:v>6.572890555766038</x:v>
      </x:c>
      <x:c r="G488" s="59" t="n">
        <x:v>5.880000000000001</x:v>
      </x:c>
      <x:c r="H488" s="58" t="str">
        <x:v>modeled_latent_ensemble</x:v>
      </x:c>
    </x:row>
    <x:row r="489" ht="15" hidden="0" customHeight="1">
      <x:c r="A489" s="60" t="n">
        <x:v>484</x:v>
      </x:c>
      <x:c r="B489" s="60" t="n">
        <x:v>8.981816458860914</x:v>
      </x:c>
      <x:c r="C489" s="60" t="n">
        <x:v>5.899633224107176</x:v>
      </x:c>
      <x:c r="D489" s="60" t="n">
        <x:v>5.059511417253924</x:v>
      </x:c>
      <x:c r="E489" s="60" t="n">
        <x:v>3.0487815115034667</x:v>
      </x:c>
      <x:c r="F489" s="60" t="n">
        <x:v>6.41025738827452</x:v>
      </x:c>
      <x:c r="G489" s="60" t="n">
        <x:v>5.88</x:v>
      </x:c>
      <x:c r="H489" s="57" t="str">
        <x:v>modeled_latent_ensemble</x:v>
      </x:c>
    </x:row>
    <x:row r="490" ht="15" hidden="0" customHeight="1">
      <x:c r="A490" s="59" t="n">
        <x:v>485</x:v>
      </x:c>
      <x:c r="B490" s="59" t="n">
        <x:v>8.871237160572097</x:v>
      </x:c>
      <x:c r="C490" s="59" t="n">
        <x:v>5.894392903700831</x:v>
      </x:c>
      <x:c r="D490" s="59" t="n">
        <x:v>5.319281890582888</x:v>
      </x:c>
      <x:c r="E490" s="59" t="n">
        <x:v>2.907936960802249</x:v>
      </x:c>
      <x:c r="F490" s="59" t="n">
        <x:v>6.407151084341937</x:v>
      </x:c>
      <x:c r="G490" s="59" t="n">
        <x:v>5.880000000000001</x:v>
      </x:c>
      <x:c r="H490" s="58" t="str">
        <x:v>modeled_latent_ensemble</x:v>
      </x:c>
    </x:row>
    <x:row r="491" ht="15" hidden="0" customHeight="1">
      <x:c r="A491" s="60" t="n">
        <x:v>486</x:v>
      </x:c>
      <x:c r="B491" s="60" t="n">
        <x:v>8.951758025089072</x:v>
      </x:c>
      <x:c r="C491" s="60" t="n">
        <x:v>5.923619280995198</x:v>
      </x:c>
      <x:c r="D491" s="60" t="n">
        <x:v>5.040095215776742</x:v>
      </x:c>
      <x:c r="E491" s="60" t="n">
        <x:v>3.266938933276775</x:v>
      </x:c>
      <x:c r="F491" s="60" t="n">
        <x:v>6.217588544862215</x:v>
      </x:c>
      <x:c r="G491" s="60" t="n">
        <x:v>5.880000000000001</x:v>
      </x:c>
      <x:c r="H491" s="57" t="str">
        <x:v>modeled_latent_ensemble</x:v>
      </x:c>
    </x:row>
    <x:row r="492" ht="15" hidden="0" customHeight="1">
      <x:c r="A492" s="59" t="n">
        <x:v>487</x:v>
      </x:c>
      <x:c r="B492" s="59" t="n">
        <x:v>8.959602205660524</x:v>
      </x:c>
      <x:c r="C492" s="59" t="n">
        <x:v>6.123715911211986</x:v>
      </x:c>
      <x:c r="D492" s="59" t="n">
        <x:v>4.859080155720372</x:v>
      </x:c>
      <x:c r="E492" s="59" t="n">
        <x:v>2.911720850906974</x:v>
      </x:c>
      <x:c r="F492" s="59" t="n">
        <x:v>6.545880876500147</x:v>
      </x:c>
      <x:c r="G492" s="59" t="n">
        <x:v>5.880000000000001</x:v>
      </x:c>
      <x:c r="H492" s="58" t="str">
        <x:v>modeled_latent_ensemble</x:v>
      </x:c>
    </x:row>
    <x:row r="493" ht="15" hidden="0" customHeight="1">
      <x:c r="A493" s="60" t="n">
        <x:v>488</x:v>
      </x:c>
      <x:c r="B493" s="60" t="n">
        <x:v>8.92521675957004</x:v>
      </x:c>
      <x:c r="C493" s="60" t="n">
        <x:v>5.891694981842616</x:v>
      </x:c>
      <x:c r="D493" s="60" t="n">
        <x:v>5.160835731735348</x:v>
      </x:c>
      <x:c r="E493" s="60" t="n">
        <x:v>3.0334225546436593</x:v>
      </x:c>
      <x:c r="F493" s="60" t="n">
        <x:v>6.388829972208336</x:v>
      </x:c>
      <x:c r="G493" s="60" t="n">
        <x:v>5.880000000000001</x:v>
      </x:c>
      <x:c r="H493" s="57" t="str">
        <x:v>modeled_latent_ensemble</x:v>
      </x:c>
    </x:row>
    <x:row r="494" ht="15" hidden="0" customHeight="1">
      <x:c r="A494" s="59" t="n">
        <x:v>489</x:v>
      </x:c>
      <x:c r="B494" s="59" t="n">
        <x:v>8.965785136765682</x:v>
      </x:c>
      <x:c r="C494" s="59" t="n">
        <x:v>5.960600970966718</x:v>
      </x:c>
      <x:c r="D494" s="59" t="n">
        <x:v>4.954253526237004</x:v>
      </x:c>
      <x:c r="E494" s="59" t="n">
        <x:v>3.2677333043292216</x:v>
      </x:c>
      <x:c r="F494" s="59" t="n">
        <x:v>6.251627061701376</x:v>
      </x:c>
      <x:c r="G494" s="59" t="n">
        <x:v>5.88</x:v>
      </x:c>
      <x:c r="H494" s="58" t="str">
        <x:v>modeled_latent_ensemble</x:v>
      </x:c>
    </x:row>
    <x:row r="495" ht="15" hidden="0" customHeight="1">
      <x:c r="A495" s="60" t="n">
        <x:v>490</x:v>
      </x:c>
      <x:c r="B495" s="60" t="n">
        <x:v>8.74020383162024</x:v>
      </x:c>
      <x:c r="C495" s="60" t="n">
        <x:v>5.94664739551254</x:v>
      </x:c>
      <x:c r="D495" s="60" t="n">
        <x:v>5.140504953450269</x:v>
      </x:c>
      <x:c r="E495" s="60" t="n">
        <x:v>3.2862754434127</x:v>
      </x:c>
      <x:c r="F495" s="60" t="n">
        <x:v>6.286368376004252</x:v>
      </x:c>
      <x:c r="G495" s="60" t="n">
        <x:v>5.880000000000001</x:v>
      </x:c>
      <x:c r="H495" s="57" t="str">
        <x:v>modeled_latent_ensemble</x:v>
      </x:c>
    </x:row>
    <x:row r="496" ht="15" hidden="0" customHeight="1">
      <x:c r="A496" s="59" t="n">
        <x:v>491</x:v>
      </x:c>
      <x:c r="B496" s="59" t="n">
        <x:v>8.958912670306587</x:v>
      </x:c>
      <x:c r="C496" s="59" t="n">
        <x:v>6.054192092423785</x:v>
      </x:c>
      <x:c r="D496" s="59" t="n">
        <x:v>5.062437587179683</x:v>
      </x:c>
      <x:c r="E496" s="59" t="n">
        <x:v>2.7595762676684035</x:v>
      </x:c>
      <x:c r="F496" s="59" t="n">
        <x:v>6.564881382421544</x:v>
      </x:c>
      <x:c r="G496" s="59" t="n">
        <x:v>5.880000000000001</x:v>
      </x:c>
      <x:c r="H496" s="58" t="str">
        <x:v>modeled_latent_ensemble</x:v>
      </x:c>
    </x:row>
    <x:row r="497" ht="15" hidden="0" customHeight="1">
      <x:c r="A497" s="60" t="n">
        <x:v>492</x:v>
      </x:c>
      <x:c r="B497" s="60" t="n">
        <x:v>8.759799753870938</x:v>
      </x:c>
      <x:c r="C497" s="60" t="n">
        <x:v>5.980960992799137</x:v>
      </x:c>
      <x:c r="D497" s="60" t="n">
        <x:v>4.9519220192074425</x:v>
      </x:c>
      <x:c r="E497" s="60" t="n">
        <x:v>3.139903934317527</x:v>
      </x:c>
      <x:c r="F497" s="60" t="n">
        <x:v>6.567413299804958</x:v>
      </x:c>
      <x:c r="G497" s="60" t="n">
        <x:v>5.880000000000001</x:v>
      </x:c>
      <x:c r="H497" s="57" t="str">
        <x:v>modeled_latent_ensemble</x:v>
      </x:c>
    </x:row>
    <x:row r="498" ht="15" hidden="0" customHeight="1">
      <x:c r="A498" s="59" t="n">
        <x:v>493</x:v>
      </x:c>
      <x:c r="B498" s="59" t="n">
        <x:v>8.734223000442894</x:v>
      </x:c>
      <x:c r="C498" s="59" t="n">
        <x:v>5.980963433318884</x:v>
      </x:c>
      <x:c r="D498" s="59" t="n">
        <x:v>5.063356359891436</x:v>
      </x:c>
      <x:c r="E498" s="59" t="n">
        <x:v>3.205749193889771</x:v>
      </x:c>
      <x:c r="F498" s="59" t="n">
        <x:v>6.415708012457016</x:v>
      </x:c>
      <x:c r="G498" s="59" t="n">
        <x:v>5.880000000000001</x:v>
      </x:c>
      <x:c r="H498" s="58" t="str">
        <x:v>modeled_latent_ensemble</x:v>
      </x:c>
    </x:row>
    <x:row r="499" ht="15" hidden="0" customHeight="1">
      <x:c r="A499" s="60" t="n">
        <x:v>494</x:v>
      </x:c>
      <x:c r="B499" s="60" t="n">
        <x:v>8.823303659868676</x:v>
      </x:c>
      <x:c r="C499" s="60" t="n">
        <x:v>5.932967575151776</x:v>
      </x:c>
      <x:c r="D499" s="60" t="n">
        <x:v>5.073855260807558</x:v>
      </x:c>
      <x:c r="E499" s="60" t="n">
        <x:v>3.171938220966793</x:v>
      </x:c>
      <x:c r="F499" s="60" t="n">
        <x:v>6.397935283205199</x:v>
      </x:c>
      <x:c r="G499" s="60" t="n">
        <x:v>5.880000000000001</x:v>
      </x:c>
      <x:c r="H499" s="57" t="str">
        <x:v>modeled_latent_ensemble</x:v>
      </x:c>
    </x:row>
    <x:row r="500" ht="15" hidden="0" customHeight="1">
      <x:c r="A500" s="59" t="n">
        <x:v>495</x:v>
      </x:c>
      <x:c r="B500" s="59" t="n">
        <x:v>8.880204914307413</x:v>
      </x:c>
      <x:c r="C500" s="59" t="n">
        <x:v>6.119691076632958</x:v>
      </x:c>
      <x:c r="D500" s="59" t="n">
        <x:v>5.054816134257377</x:v>
      </x:c>
      <x:c r="E500" s="59" t="n">
        <x:v>2.8514456550890896</x:v>
      </x:c>
      <x:c r="F500" s="59" t="n">
        <x:v>6.493842219713162</x:v>
      </x:c>
      <x:c r="G500" s="59" t="n">
        <x:v>5.88</x:v>
      </x:c>
      <x:c r="H500" s="58" t="str">
        <x:v>modeled_latent_ensemble</x:v>
      </x:c>
    </x:row>
    <x:row r="501" ht="15" hidden="0" customHeight="1">
      <x:c r="A501" s="60" t="n">
        <x:v>496</x:v>
      </x:c>
      <x:c r="B501" s="60" t="n">
        <x:v>8.917771514319236</x:v>
      </x:c>
      <x:c r="C501" s="60" t="n">
        <x:v>5.99334127302033</x:v>
      </x:c>
      <x:c r="D501" s="60" t="n">
        <x:v>5.125278471564793</x:v>
      </x:c>
      <x:c r="E501" s="60" t="n">
        <x:v>3.0084638433726996</x:v>
      </x:c>
      <x:c r="F501" s="60" t="n">
        <x:v>6.355144897722942</x:v>
      </x:c>
      <x:c r="G501" s="60" t="n">
        <x:v>5.88</x:v>
      </x:c>
      <x:c r="H501" s="57" t="str">
        <x:v>modeled_latent_ensemble</x:v>
      </x:c>
    </x:row>
    <x:row r="502" ht="15" hidden="0" customHeight="1">
      <x:c r="A502" s="59" t="n">
        <x:v>497</x:v>
      </x:c>
      <x:c r="B502" s="59" t="n">
        <x:v>8.778014876247173</x:v>
      </x:c>
      <x:c r="C502" s="59" t="n">
        <x:v>6.198639813570388</x:v>
      </x:c>
      <x:c r="D502" s="59" t="n">
        <x:v>4.967929202500229</x:v>
      </x:c>
      <x:c r="E502" s="59" t="n">
        <x:v>3.05350461449003</x:v>
      </x:c>
      <x:c r="F502" s="59" t="n">
        <x:v>6.401911493192181</x:v>
      </x:c>
      <x:c r="G502" s="59" t="n">
        <x:v>5.880000000000001</x:v>
      </x:c>
      <x:c r="H502" s="58" t="str">
        <x:v>modeled_latent_ensemble</x:v>
      </x:c>
    </x:row>
    <x:row r="503" ht="15" hidden="0" customHeight="1">
      <x:c r="A503" s="60" t="n">
        <x:v>498</x:v>
      </x:c>
      <x:c r="B503" s="60" t="n">
        <x:v>8.844317698111277</x:v>
      </x:c>
      <x:c r="C503" s="60" t="n">
        <x:v>6.046917567444844</x:v>
      </x:c>
      <x:c r="D503" s="60" t="n">
        <x:v>5.305752673760551</x:v>
      </x:c>
      <x:c r="E503" s="60" t="n">
        <x:v>2.957878568648249</x:v>
      </x:c>
      <x:c r="F503" s="60" t="n">
        <x:v>6.24513349203508</x:v>
      </x:c>
      <x:c r="G503" s="60" t="n">
        <x:v>5.88</x:v>
      </x:c>
      <x:c r="H503" s="57" t="str">
        <x:v>modeled_latent_ensemble</x:v>
      </x:c>
    </x:row>
    <x:row r="504" ht="15" hidden="0" customHeight="1">
      <x:c r="A504" s="59" t="n">
        <x:v>499</x:v>
      </x:c>
      <x:c r="B504" s="59" t="n">
        <x:v>9.01074698302012</x:v>
      </x:c>
      <x:c r="C504" s="59" t="n">
        <x:v>6.0755197021298315</x:v>
      </x:c>
      <x:c r="D504" s="59" t="n">
        <x:v>5.271534062220721</x:v>
      </x:c>
      <x:c r="E504" s="59" t="n">
        <x:v>2.405025331456494</x:v>
      </x:c>
      <x:c r="F504" s="59" t="n">
        <x:v>6.637173921172835</x:v>
      </x:c>
      <x:c r="G504" s="59" t="n">
        <x:v>5.88</x:v>
      </x:c>
      <x:c r="H504" s="58" t="str">
        <x:v>modeled_latent_ensemble</x:v>
      </x:c>
    </x:row>
    <x:row r="505" ht="15" hidden="0" customHeight="1">
      <x:c r="A505" s="60" t="n">
        <x:v>500</x:v>
      </x:c>
      <x:c r="B505" s="60" t="n">
        <x:v>8.851461557181008</x:v>
      </x:c>
      <x:c r="C505" s="60" t="n">
        <x:v>5.996080488520373</x:v>
      </x:c>
      <x:c r="D505" s="60" t="n">
        <x:v>5.036249338371132</x:v>
      </x:c>
      <x:c r="E505" s="60" t="n">
        <x:v>3.2833411435034097</x:v>
      </x:c>
      <x:c r="F505" s="60" t="n">
        <x:v>6.232867472424079</x:v>
      </x:c>
      <x:c r="G505" s="60" t="n">
        <x:v>5.880000000000001</x:v>
      </x:c>
      <x:c r="H505" s="57" t="str">
        <x:v>modeled_latent_ensemble</x:v>
      </x:c>
    </x:row>
  </x:sheetData>
  <x:mergeCells>
    <x:mergeCell ref="A1:H1"/>
    <x:mergeCell ref="A2:H2"/>
  </x:mergeCells>
  <x:pageMargins left="0.7" right="0.7" top="0.75" bottom="0.75" header="0.3" footer="0.3"/>
  <x:tableParts count="1">
    <x:tablePart xmlns:r="http://schemas.openxmlformats.org/officeDocument/2006/relationships" r:id="Refc0fe7e0c2047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44"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s>
  <x:sheetData>
    <x:row r="1" ht="19.200000762939453" hidden="0" customHeight="1">
      <x:c r="A1" s="3" t="str">
        <x:v>Trayectorias centrales 2025–2030</x:v>
      </x:c>
      <x:c r="B1" s="3" t="str">
        <x:v>Trayectorias centrales 2025–2030</x:v>
      </x:c>
      <x:c r="C1" s="3" t="str">
        <x:v>Trayectorias centrales 2025–2030</x:v>
      </x:c>
      <x:c r="D1" s="3" t="str">
        <x:v>Trayectorias centrales 2025–2030</x:v>
      </x:c>
      <x:c r="E1" s="3" t="str">
        <x:v>Trayectorias centrales 2025–2030</x:v>
      </x:c>
      <x:c r="F1" s="3" t="str">
        <x:v>Trayectorias centrales 2025–2030</x:v>
      </x:c>
      <x:c r="G1" s="3" t="str">
        <x:v>Trayectorias centrales 2025–2030</x:v>
      </x:c>
      <x:c r="H1" s="3" t="str">
        <x:v>Trayectorias centrales 2025–2030</x:v>
      </x:c>
      <x:c r="I1" s="3" t="str">
        <x:v>Trayectorias centrales 2025–2030</x:v>
      </x:c>
      <x:c r="J1" s="3" t="str">
        <x:v>Trayectorias centrales 2025–2030</x:v>
      </x:c>
      <x:c r="K1" s="3" t="str">
        <x:v>Trayectorias centrales 2025–2030</x:v>
      </x:c>
      <x:c r="L1" s="3" t="str">
        <x:v>Trayectorias centrales 2025–2030</x:v>
      </x:c>
    </x:row>
    <x:row r="2" ht="15" hidden="0" customHeight="1">
      <x:c r="A2" s="7" t="str">
        <x:v>Tres escenarios analíticos. Los valores posteriores a 2025 son simulados y no constituyen pronósticos puntuales ni probabilidades de ocurrencia.</x:v>
      </x:c>
      <x:c r="B2" s="7" t="str">
        <x:v>Tres escenarios analíticos. Los valores posteriores a 2025 son simulados y no constituyen pronósticos puntuales ni probabilidades de ocurrencia.</x:v>
      </x:c>
      <x:c r="C2" s="7" t="str">
        <x:v>Tres escenarios analíticos. Los valores posteriores a 2025 son simulados y no constituyen pronósticos puntuales ni probabilidades de ocurrencia.</x:v>
      </x:c>
      <x:c r="D2" s="7" t="str">
        <x:v>Tres escenarios analíticos. Los valores posteriores a 2025 son simulados y no constituyen pronósticos puntuales ni probabilidades de ocurrencia.</x:v>
      </x:c>
      <x:c r="E2" s="7" t="str">
        <x:v>Tres escenarios analíticos. Los valores posteriores a 2025 son simulados y no constituyen pronósticos puntuales ni probabilidades de ocurrencia.</x:v>
      </x:c>
      <x:c r="F2" s="7" t="str">
        <x:v>Tres escenarios analíticos. Los valores posteriores a 2025 son simulados y no constituyen pronósticos puntuales ni probabilidades de ocurrencia.</x:v>
      </x:c>
      <x:c r="G2" s="7" t="str">
        <x:v>Tres escenarios analíticos. Los valores posteriores a 2025 son simulados y no constituyen pronósticos puntuales ni probabilidades de ocurrencia.</x:v>
      </x:c>
      <x:c r="H2" s="7" t="str">
        <x:v>Tres escenarios analíticos. Los valores posteriores a 2025 son simulados y no constituyen pronósticos puntuales ni probabilidades de ocurrencia.</x:v>
      </x:c>
      <x:c r="I2" s="7" t="str">
        <x:v>Tres escenarios analíticos. Los valores posteriores a 2025 son simulados y no constituyen pronósticos puntuales ni probabilidades de ocurrencia.</x:v>
      </x:c>
      <x:c r="J2" s="7" t="str">
        <x:v>Tres escenarios analíticos. Los valores posteriores a 2025 son simulados y no constituyen pronósticos puntuales ni probabilidades de ocurrencia.</x:v>
      </x:c>
      <x:c r="K2" s="7" t="str">
        <x:v>Tres escenarios analíticos. Los valores posteriores a 2025 son simulados y no constituyen pronósticos puntuales ni probabilidades de ocurrencia.</x:v>
      </x:c>
      <x:c r="L2" s="7" t="str">
        <x:v>Tres escenarios analíticos. Los valores posteriores a 2025 son simulados y no constituyen pronósticos puntuales ni probabilidades de ocurrencia.</x:v>
      </x:c>
    </x:row>
    <x:row r="3" ht="15" hidden="0" customHeight="1">
      <x:c r="A3" s="8"/>
      <x:c r="B3" s="8"/>
      <x:c r="C3" s="8"/>
      <x:c r="D3" s="8"/>
      <x:c r="E3" s="8"/>
      <x:c r="F3" s="8"/>
      <x:c r="G3" s="8"/>
      <x:c r="H3" s="8"/>
      <x:c r="I3" s="8"/>
      <x:c r="J3" s="8"/>
      <x:c r="K3" s="8"/>
      <x:c r="L3" s="8"/>
    </x:row>
    <x:row r="4"/>
    <x:row r="5" ht="15" hidden="0" customHeight="1">
      <x:c r="A5" s="14" t="str">
        <x:v>scenario_id</x:v>
      </x:c>
      <x:c r="B5" s="14" t="str">
        <x:v>scenario_name</x:v>
      </x:c>
      <x:c r="C5" s="14" t="str">
        <x:v>year</x:v>
      </x:c>
      <x:c r="D5" s="14" t="str">
        <x:v>Proceso electoral y pluralismo</x:v>
      </x:c>
      <x:c r="E5" s="14" t="str">
        <x:v>Funcionamiento del gobierno</x:v>
      </x:c>
      <x:c r="F5" s="14" t="str">
        <x:v>Participación política</x:v>
      </x:c>
      <x:c r="G5" s="14" t="str">
        <x:v>Cultura política</x:v>
      </x:c>
      <x:c r="H5" s="14" t="str">
        <x:v>Libertades civiles</x:v>
      </x:c>
      <x:c r="I5" s="14" t="str">
        <x:v>overall_score</x:v>
      </x:c>
      <x:c r="J5" s="14" t="str">
        <x:v>phase</x:v>
      </x:c>
      <x:c r="K5" s="14" t="str">
        <x:v>data_status</x:v>
      </x:c>
      <x:c r="L5" s="14" t="str">
        <x:v>regime_type</x:v>
      </x:c>
    </x:row>
    <x:row r="6" ht="15" hidden="0" customHeight="1">
      <x:c r="A6" s="58" t="str">
        <x:v>recuperacion_institucional</x:v>
      </x:c>
      <x:c r="B6" s="58" t="str">
        <x:v>Recuperación institucional y gobernabilidad negociada</x:v>
      </x:c>
      <x:c r="C6" s="59" t="n">
        <x:v>2025</x:v>
      </x:c>
      <x:c r="D6" s="59" t="n">
        <x:v>8.88</x:v>
      </x:c>
      <x:c r="E6" s="59" t="n">
        <x:v>6.03</x:v>
      </x:c>
      <x:c r="F6" s="59" t="n">
        <x:v>5.07</x:v>
      </x:c>
      <x:c r="G6" s="59" t="n">
        <x:v>3</x:v>
      </x:c>
      <x:c r="H6" s="59" t="n">
        <x:v>6.42</x:v>
      </x:c>
      <x:c r="I6" s="59" t="n">
        <x:v>5.88</x:v>
      </x:c>
      <x:c r="J6" s="58" t="str">
        <x:v>modeled_latent_central</x:v>
      </x:c>
      <x:c r="K6" s="58" t="str">
        <x:v>modeled_latent_central</x:v>
      </x:c>
      <x:c r="L6" s="58" t="str">
        <x:v>Hybrid regime</x:v>
      </x:c>
    </x:row>
    <x:row r="7" ht="15" hidden="0" customHeight="1">
      <x:c r="A7" s="57" t="str">
        <x:v>recuperacion_institucional</x:v>
      </x:c>
      <x:c r="B7" s="57" t="str">
        <x:v>Recuperación institucional y gobernabilidad negociada</x:v>
      </x:c>
      <x:c r="C7" s="60" t="n">
        <x:v>2026</x:v>
      </x:c>
      <x:c r="D7" s="60" t="n">
        <x:v>9</x:v>
      </x:c>
      <x:c r="E7" s="60" t="n">
        <x:v>6.15</x:v>
      </x:c>
      <x:c r="F7" s="60" t="n">
        <x:v>5.15</x:v>
      </x:c>
      <x:c r="G7" s="60" t="n">
        <x:v>3.15</x:v>
      </x:c>
      <x:c r="H7" s="60" t="n">
        <x:v>6.47</x:v>
      </x:c>
      <x:c r="I7" s="60" t="n">
        <x:v>5.984</x:v>
      </x:c>
      <x:c r="J7" s="57" t="str">
        <x:v>post_election_shock</x:v>
      </x:c>
      <x:c r="K7" s="57" t="str">
        <x:v>simulated_scenario</x:v>
      </x:c>
      <x:c r="L7" s="57" t="str">
        <x:v>Hybrid regime</x:v>
      </x:c>
    </x:row>
    <x:row r="8" ht="15" hidden="0" customHeight="1">
      <x:c r="A8" s="58" t="str">
        <x:v>recuperacion_institucional</x:v>
      </x:c>
      <x:c r="B8" s="58" t="str">
        <x:v>Recuperación institucional y gobernabilidad negociada</x:v>
      </x:c>
      <x:c r="C8" s="59" t="n">
        <x:v>2027</x:v>
      </x:c>
      <x:c r="D8" s="59" t="n">
        <x:v>9.04</x:v>
      </x:c>
      <x:c r="E8" s="59" t="n">
        <x:v>6.25</x:v>
      </x:c>
      <x:c r="F8" s="59" t="n">
        <x:v>5.21</x:v>
      </x:c>
      <x:c r="G8" s="59" t="n">
        <x:v>3.25</x:v>
      </x:c>
      <x:c r="H8" s="59" t="n">
        <x:v>6.52</x:v>
      </x:c>
      <x:c r="I8" s="59" t="n">
        <x:v>6.054</x:v>
      </x:c>
      <x:c r="J8" s="58" t="str">
        <x:v>structural_projection</x:v>
      </x:c>
      <x:c r="K8" s="58" t="str">
        <x:v>simulated_scenario</x:v>
      </x:c>
      <x:c r="L8" s="58" t="str">
        <x:v>Flawed democracy</x:v>
      </x:c>
    </x:row>
    <x:row r="9" ht="15" hidden="0" customHeight="1">
      <x:c r="A9" s="57" t="str">
        <x:v>recuperacion_institucional</x:v>
      </x:c>
      <x:c r="B9" s="57" t="str">
        <x:v>Recuperación institucional y gobernabilidad negociada</x:v>
      </x:c>
      <x:c r="C9" s="60" t="n">
        <x:v>2028</x:v>
      </x:c>
      <x:c r="D9" s="60" t="n">
        <x:v>9.076</x:v>
      </x:c>
      <x:c r="E9" s="60" t="n">
        <x:v>6.34</x:v>
      </x:c>
      <x:c r="F9" s="60" t="n">
        <x:v>5.264</x:v>
      </x:c>
      <x:c r="G9" s="60" t="n">
        <x:v>3.34</x:v>
      </x:c>
      <x:c r="H9" s="60" t="n">
        <x:v>6.565</x:v>
      </x:c>
      <x:c r="I9" s="60" t="n">
        <x:v>6.117</x:v>
      </x:c>
      <x:c r="J9" s="57" t="str">
        <x:v>structural_projection</x:v>
      </x:c>
      <x:c r="K9" s="57" t="str">
        <x:v>simulated_scenario</x:v>
      </x:c>
      <x:c r="L9" s="57" t="str">
        <x:v>Flawed democracy</x:v>
      </x:c>
    </x:row>
    <x:row r="10" ht="15" hidden="0" customHeight="1">
      <x:c r="A10" s="58" t="str">
        <x:v>recuperacion_institucional</x:v>
      </x:c>
      <x:c r="B10" s="58" t="str">
        <x:v>Recuperación institucional y gobernabilidad negociada</x:v>
      </x:c>
      <x:c r="C10" s="59" t="n">
        <x:v>2029</x:v>
      </x:c>
      <x:c r="D10" s="59" t="n">
        <x:v>9.108</x:v>
      </x:c>
      <x:c r="E10" s="59" t="n">
        <x:v>6.42</x:v>
      </x:c>
      <x:c r="F10" s="59" t="n">
        <x:v>5.312</x:v>
      </x:c>
      <x:c r="G10" s="59" t="n">
        <x:v>3.42</x:v>
      </x:c>
      <x:c r="H10" s="59" t="n">
        <x:v>6.605</x:v>
      </x:c>
      <x:c r="I10" s="59" t="n">
        <x:v>6.173</x:v>
      </x:c>
      <x:c r="J10" s="58" t="str">
        <x:v>structural_projection</x:v>
      </x:c>
      <x:c r="K10" s="58" t="str">
        <x:v>simulated_scenario</x:v>
      </x:c>
      <x:c r="L10" s="58" t="str">
        <x:v>Flawed democracy</x:v>
      </x:c>
    </x:row>
    <x:row r="11" ht="15" hidden="0" customHeight="1">
      <x:c r="A11" s="57" t="str">
        <x:v>recuperacion_institucional</x:v>
      </x:c>
      <x:c r="B11" s="57" t="str">
        <x:v>Recuperación institucional y gobernabilidad negociada</x:v>
      </x:c>
      <x:c r="C11" s="60" t="n">
        <x:v>2030</x:v>
      </x:c>
      <x:c r="D11" s="60" t="n">
        <x:v>9.136</x:v>
      </x:c>
      <x:c r="E11" s="60" t="n">
        <x:v>6.49</x:v>
      </x:c>
      <x:c r="F11" s="60" t="n">
        <x:v>5.354</x:v>
      </x:c>
      <x:c r="G11" s="60" t="n">
        <x:v>3.49</x:v>
      </x:c>
      <x:c r="H11" s="60" t="n">
        <x:v>6.64</x:v>
      </x:c>
      <x:c r="I11" s="60" t="n">
        <x:v>6.222</x:v>
      </x:c>
      <x:c r="J11" s="57" t="str">
        <x:v>structural_projection</x:v>
      </x:c>
      <x:c r="K11" s="57" t="str">
        <x:v>simulated_scenario</x:v>
      </x:c>
      <x:c r="L11" s="57" t="str">
        <x:v>Flawed democracy</x:v>
      </x:c>
    </x:row>
    <x:row r="12" ht="15" hidden="0" customHeight="1">
      <x:c r="A12" s="58" t="str">
        <x:v>continuidad_hibrida</x:v>
      </x:c>
      <x:c r="B12" s="58" t="str">
        <x:v>Continuidad híbrida y estabilización competitiva</x:v>
      </x:c>
      <x:c r="C12" s="59" t="n">
        <x:v>2025</x:v>
      </x:c>
      <x:c r="D12" s="59" t="n">
        <x:v>8.88</x:v>
      </x:c>
      <x:c r="E12" s="59" t="n">
        <x:v>6.03</x:v>
      </x:c>
      <x:c r="F12" s="59" t="n">
        <x:v>5.07</x:v>
      </x:c>
      <x:c r="G12" s="59" t="n">
        <x:v>3</x:v>
      </x:c>
      <x:c r="H12" s="59" t="n">
        <x:v>6.42</x:v>
      </x:c>
      <x:c r="I12" s="59" t="n">
        <x:v>5.88</x:v>
      </x:c>
      <x:c r="J12" s="58" t="str">
        <x:v>modeled_latent_central</x:v>
      </x:c>
      <x:c r="K12" s="58" t="str">
        <x:v>modeled_latent_central</x:v>
      </x:c>
      <x:c r="L12" s="58" t="str">
        <x:v>Hybrid regime</x:v>
      </x:c>
    </x:row>
    <x:row r="13" ht="15" hidden="0" customHeight="1">
      <x:c r="A13" s="57" t="str">
        <x:v>continuidad_hibrida</x:v>
      </x:c>
      <x:c r="B13" s="57" t="str">
        <x:v>Continuidad híbrida y estabilización competitiva</x:v>
      </x:c>
      <x:c r="C13" s="60" t="n">
        <x:v>2026</x:v>
      </x:c>
      <x:c r="D13" s="60" t="n">
        <x:v>8.96</x:v>
      </x:c>
      <x:c r="E13" s="60" t="n">
        <x:v>5.97</x:v>
      </x:c>
      <x:c r="F13" s="60" t="n">
        <x:v>5.13</x:v>
      </x:c>
      <x:c r="G13" s="60" t="n">
        <x:v>2.9</x:v>
      </x:c>
      <x:c r="H13" s="60" t="n">
        <x:v>6.34</x:v>
      </x:c>
      <x:c r="I13" s="60" t="n">
        <x:v>5.86</x:v>
      </x:c>
      <x:c r="J13" s="57" t="str">
        <x:v>post_election_shock</x:v>
      </x:c>
      <x:c r="K13" s="57" t="str">
        <x:v>simulated_scenario</x:v>
      </x:c>
      <x:c r="L13" s="57" t="str">
        <x:v>Hybrid regime</x:v>
      </x:c>
    </x:row>
    <x:row r="14" ht="15" hidden="0" customHeight="1">
      <x:c r="A14" s="58" t="str">
        <x:v>continuidad_hibrida</x:v>
      </x:c>
      <x:c r="B14" s="58" t="str">
        <x:v>Continuidad híbrida y estabilización competitiva</x:v>
      </x:c>
      <x:c r="C14" s="59" t="n">
        <x:v>2027</x:v>
      </x:c>
      <x:c r="D14" s="59" t="n">
        <x:v>8.96</x:v>
      </x:c>
      <x:c r="E14" s="59" t="n">
        <x:v>5.98</x:v>
      </x:c>
      <x:c r="F14" s="59" t="n">
        <x:v>5.15</x:v>
      </x:c>
      <x:c r="G14" s="59" t="n">
        <x:v>2.9</x:v>
      </x:c>
      <x:c r="H14" s="59" t="n">
        <x:v>6.33</x:v>
      </x:c>
      <x:c r="I14" s="59" t="n">
        <x:v>5.864</x:v>
      </x:c>
      <x:c r="J14" s="58" t="str">
        <x:v>structural_projection</x:v>
      </x:c>
      <x:c r="K14" s="58" t="str">
        <x:v>simulated_scenario</x:v>
      </x:c>
      <x:c r="L14" s="58" t="str">
        <x:v>Hybrid regime</x:v>
      </x:c>
    </x:row>
    <x:row r="15" ht="15" hidden="0" customHeight="1">
      <x:c r="A15" s="57" t="str">
        <x:v>continuidad_hibrida</x:v>
      </x:c>
      <x:c r="B15" s="57" t="str">
        <x:v>Continuidad híbrida y estabilización competitiva</x:v>
      </x:c>
      <x:c r="C15" s="60" t="n">
        <x:v>2028</x:v>
      </x:c>
      <x:c r="D15" s="60" t="n">
        <x:v>8.96</x:v>
      </x:c>
      <x:c r="E15" s="60" t="n">
        <x:v>5.989</x:v>
      </x:c>
      <x:c r="F15" s="60" t="n">
        <x:v>5.168</x:v>
      </x:c>
      <x:c r="G15" s="60" t="n">
        <x:v>2.9</x:v>
      </x:c>
      <x:c r="H15" s="60" t="n">
        <x:v>6.321</x:v>
      </x:c>
      <x:c r="I15" s="60" t="n">
        <x:v>5.868</x:v>
      </x:c>
      <x:c r="J15" s="57" t="str">
        <x:v>structural_projection</x:v>
      </x:c>
      <x:c r="K15" s="57" t="str">
        <x:v>simulated_scenario</x:v>
      </x:c>
      <x:c r="L15" s="57" t="str">
        <x:v>Hybrid regime</x:v>
      </x:c>
    </x:row>
    <x:row r="16" ht="15" hidden="0" customHeight="1">
      <x:c r="A16" s="58" t="str">
        <x:v>continuidad_hibrida</x:v>
      </x:c>
      <x:c r="B16" s="58" t="str">
        <x:v>Continuidad híbrida y estabilización competitiva</x:v>
      </x:c>
      <x:c r="C16" s="59" t="n">
        <x:v>2029</x:v>
      </x:c>
      <x:c r="D16" s="59" t="n">
        <x:v>8.96</x:v>
      </x:c>
      <x:c r="E16" s="59" t="n">
        <x:v>5.997</x:v>
      </x:c>
      <x:c r="F16" s="59" t="n">
        <x:v>5.184</x:v>
      </x:c>
      <x:c r="G16" s="59" t="n">
        <x:v>2.9</x:v>
      </x:c>
      <x:c r="H16" s="59" t="n">
        <x:v>6.313</x:v>
      </x:c>
      <x:c r="I16" s="59" t="n">
        <x:v>5.871</x:v>
      </x:c>
      <x:c r="J16" s="58" t="str">
        <x:v>structural_projection</x:v>
      </x:c>
      <x:c r="K16" s="58" t="str">
        <x:v>simulated_scenario</x:v>
      </x:c>
      <x:c r="L16" s="58" t="str">
        <x:v>Hybrid regime</x:v>
      </x:c>
    </x:row>
    <x:row r="17" ht="15" hidden="0" customHeight="1">
      <x:c r="A17" s="57" t="str">
        <x:v>continuidad_hibrida</x:v>
      </x:c>
      <x:c r="B17" s="57" t="str">
        <x:v>Continuidad híbrida y estabilización competitiva</x:v>
      </x:c>
      <x:c r="C17" s="60" t="n">
        <x:v>2030</x:v>
      </x:c>
      <x:c r="D17" s="60" t="n">
        <x:v>8.96</x:v>
      </x:c>
      <x:c r="E17" s="60" t="n">
        <x:v>6.004</x:v>
      </x:c>
      <x:c r="F17" s="60" t="n">
        <x:v>5.198</x:v>
      </x:c>
      <x:c r="G17" s="60" t="n">
        <x:v>2.9</x:v>
      </x:c>
      <x:c r="H17" s="60" t="n">
        <x:v>6.306</x:v>
      </x:c>
      <x:c r="I17" s="60" t="n">
        <x:v>5.874</x:v>
      </x:c>
      <x:c r="J17" s="57" t="str">
        <x:v>structural_projection</x:v>
      </x:c>
      <x:c r="K17" s="57" t="str">
        <x:v>simulated_scenario</x:v>
      </x:c>
      <x:c r="L17" s="57" t="str">
        <x:v>Hybrid regime</x:v>
      </x:c>
    </x:row>
    <x:row r="18" ht="15" hidden="0" customHeight="1">
      <x:c r="A18" s="58" t="str">
        <x:v>deriva_restrictiva</x:v>
      </x:c>
      <x:c r="B18" s="58" t="str">
        <x:v>Deriva restrictiva y securitización</x:v>
      </x:c>
      <x:c r="C18" s="59" t="n">
        <x:v>2025</x:v>
      </x:c>
      <x:c r="D18" s="59" t="n">
        <x:v>8.88</x:v>
      </x:c>
      <x:c r="E18" s="59" t="n">
        <x:v>6.03</x:v>
      </x:c>
      <x:c r="F18" s="59" t="n">
        <x:v>5.07</x:v>
      </x:c>
      <x:c r="G18" s="59" t="n">
        <x:v>3</x:v>
      </x:c>
      <x:c r="H18" s="59" t="n">
        <x:v>6.42</x:v>
      </x:c>
      <x:c r="I18" s="59" t="n">
        <x:v>5.88</x:v>
      </x:c>
      <x:c r="J18" s="58" t="str">
        <x:v>modeled_latent_central</x:v>
      </x:c>
      <x:c r="K18" s="58" t="str">
        <x:v>modeled_latent_central</x:v>
      </x:c>
      <x:c r="L18" s="58" t="str">
        <x:v>Hybrid regime</x:v>
      </x:c>
    </x:row>
    <x:row r="19" ht="15" hidden="0" customHeight="1">
      <x:c r="A19" s="57" t="str">
        <x:v>deriva_restrictiva</x:v>
      </x:c>
      <x:c r="B19" s="57" t="str">
        <x:v>Deriva restrictiva y securitización</x:v>
      </x:c>
      <x:c r="C19" s="60" t="n">
        <x:v>2026</x:v>
      </x:c>
      <x:c r="D19" s="60" t="n">
        <x:v>8.8</x:v>
      </x:c>
      <x:c r="E19" s="60" t="n">
        <x:v>5.83</x:v>
      </x:c>
      <x:c r="F19" s="60" t="n">
        <x:v>5.02</x:v>
      </x:c>
      <x:c r="G19" s="60" t="n">
        <x:v>2.75</x:v>
      </x:c>
      <x:c r="H19" s="60" t="n">
        <x:v>6.14</x:v>
      </x:c>
      <x:c r="I19" s="60" t="n">
        <x:v>5.708</x:v>
      </x:c>
      <x:c r="J19" s="57" t="str">
        <x:v>post_election_shock</x:v>
      </x:c>
      <x:c r="K19" s="57" t="str">
        <x:v>simulated_scenario</x:v>
      </x:c>
      <x:c r="L19" s="57" t="str">
        <x:v>Hybrid regime</x:v>
      </x:c>
    </x:row>
    <x:row r="20" ht="15" hidden="0" customHeight="1">
      <x:c r="A20" s="58" t="str">
        <x:v>deriva_restrictiva</x:v>
      </x:c>
      <x:c r="B20" s="58" t="str">
        <x:v>Deriva restrictiva y securitización</x:v>
      </x:c>
      <x:c r="C20" s="59" t="n">
        <x:v>2027</x:v>
      </x:c>
      <x:c r="D20" s="59" t="n">
        <x:v>8.76</x:v>
      </x:c>
      <x:c r="E20" s="59" t="n">
        <x:v>5.7</x:v>
      </x:c>
      <x:c r="F20" s="59" t="n">
        <x:v>4.95</x:v>
      </x:c>
      <x:c r="G20" s="59" t="n">
        <x:v>2.62</x:v>
      </x:c>
      <x:c r="H20" s="59" t="n">
        <x:v>5.98</x:v>
      </x:c>
      <x:c r="I20" s="59" t="n">
        <x:v>5.602</x:v>
      </x:c>
      <x:c r="J20" s="58" t="str">
        <x:v>structural_projection</x:v>
      </x:c>
      <x:c r="K20" s="58" t="str">
        <x:v>simulated_scenario</x:v>
      </x:c>
      <x:c r="L20" s="58" t="str">
        <x:v>Hybrid regime</x:v>
      </x:c>
    </x:row>
    <x:row r="21" ht="15" hidden="0" customHeight="1">
      <x:c r="A21" s="57" t="str">
        <x:v>deriva_restrictiva</x:v>
      </x:c>
      <x:c r="B21" s="57" t="str">
        <x:v>Deriva restrictiva y securitización</x:v>
      </x:c>
      <x:c r="C21" s="60" t="n">
        <x:v>2028</x:v>
      </x:c>
      <x:c r="D21" s="60" t="n">
        <x:v>8.724</x:v>
      </x:c>
      <x:c r="E21" s="60" t="n">
        <x:v>5.583</x:v>
      </x:c>
      <x:c r="F21" s="60" t="n">
        <x:v>4.887</x:v>
      </x:c>
      <x:c r="G21" s="60" t="n">
        <x:v>2.503</x:v>
      </x:c>
      <x:c r="H21" s="60" t="n">
        <x:v>5.836</x:v>
      </x:c>
      <x:c r="I21" s="60" t="n">
        <x:v>5.507</x:v>
      </x:c>
      <x:c r="J21" s="57" t="str">
        <x:v>structural_projection</x:v>
      </x:c>
      <x:c r="K21" s="57" t="str">
        <x:v>simulated_scenario</x:v>
      </x:c>
      <x:c r="L21" s="57" t="str">
        <x:v>Hybrid regime</x:v>
      </x:c>
    </x:row>
    <x:row r="22" ht="15" hidden="0" customHeight="1">
      <x:c r="A22" s="58" t="str">
        <x:v>deriva_restrictiva</x:v>
      </x:c>
      <x:c r="B22" s="58" t="str">
        <x:v>Deriva restrictiva y securitización</x:v>
      </x:c>
      <x:c r="C22" s="59" t="n">
        <x:v>2029</x:v>
      </x:c>
      <x:c r="D22" s="59" t="n">
        <x:v>8.692</x:v>
      </x:c>
      <x:c r="E22" s="59" t="n">
        <x:v>5.479</x:v>
      </x:c>
      <x:c r="F22" s="59" t="n">
        <x:v>4.831</x:v>
      </x:c>
      <x:c r="G22" s="59" t="n">
        <x:v>2.399</x:v>
      </x:c>
      <x:c r="H22" s="59" t="n">
        <x:v>5.708</x:v>
      </x:c>
      <x:c r="I22" s="59" t="n">
        <x:v>5.422</x:v>
      </x:c>
      <x:c r="J22" s="58" t="str">
        <x:v>structural_projection</x:v>
      </x:c>
      <x:c r="K22" s="58" t="str">
        <x:v>simulated_scenario</x:v>
      </x:c>
      <x:c r="L22" s="58" t="str">
        <x:v>Hybrid regime</x:v>
      </x:c>
    </x:row>
    <x:row r="23" ht="15" hidden="0" customHeight="1">
      <x:c r="A23" s="57" t="str">
        <x:v>deriva_restrictiva</x:v>
      </x:c>
      <x:c r="B23" s="57" t="str">
        <x:v>Deriva restrictiva y securitización</x:v>
      </x:c>
      <x:c r="C23" s="60" t="n">
        <x:v>2030</x:v>
      </x:c>
      <x:c r="D23" s="60" t="n">
        <x:v>8.664</x:v>
      </x:c>
      <x:c r="E23" s="60" t="n">
        <x:v>5.388</x:v>
      </x:c>
      <x:c r="F23" s="60" t="n">
        <x:v>4.782</x:v>
      </x:c>
      <x:c r="G23" s="60" t="n">
        <x:v>2.308</x:v>
      </x:c>
      <x:c r="H23" s="60" t="n">
        <x:v>5.596</x:v>
      </x:c>
      <x:c r="I23" s="60" t="n">
        <x:v>5.348</x:v>
      </x:c>
      <x:c r="J23" s="57" t="str">
        <x:v>structural_projection</x:v>
      </x:c>
      <x:c r="K23" s="57" t="str">
        <x:v>simulated_scenario</x:v>
      </x:c>
      <x:c r="L23" s="57" t="str">
        <x:v>Hybrid regime</x:v>
      </x:c>
    </x:row>
  </x:sheetData>
  <x:mergeCells>
    <x:mergeCell ref="A1:L1"/>
    <x:mergeCell ref="A2:L2"/>
  </x:mergeCells>
  <x:pageMargins left="0.7" right="0.7" top="0.75" bottom="0.75" header="0.3" footer="0.3"/>
  <x:tableParts count="1">
    <x:tablePart xmlns:r="http://schemas.openxmlformats.org/officeDocument/2006/relationships" r:id="R63377639a059428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30" hidden="0" customWidth="1"/>
    <x:col min="4" max="4" width="44" hidden="0" customWidth="1"/>
    <x:col min="5" max="5" width="30" hidden="0" customWidth="1"/>
    <x:col min="6" max="6" width="30" hidden="0" customWidth="1"/>
    <x:col min="7" max="7" width="30" hidden="0" customWidth="1"/>
    <x:col min="8" max="8" width="44" hidden="0" customWidth="1"/>
    <x:col min="9" max="9" width="44" hidden="0" customWidth="1"/>
    <x:col min="10" max="10" width="30" hidden="0" customWidth="1"/>
    <x:col min="11" max="11" width="30" hidden="0" customWidth="1"/>
    <x:col min="12" max="12" width="30" hidden="0" customWidth="1"/>
    <x:col min="13" max="13" width="44" hidden="0" customWidth="1"/>
  </x:cols>
  <x:sheetData>
    <x:row r="1" ht="19.200000762939453" hidden="0" customHeight="1">
      <x:c r="A1" s="3" t="str">
        <x:v>Resumen de escenarios al 2030</x:v>
      </x:c>
      <x:c r="B1" s="3" t="str">
        <x:v>Resumen de escenarios al 2030</x:v>
      </x:c>
      <x:c r="C1" s="3" t="str">
        <x:v>Resumen de escenarios al 2030</x:v>
      </x:c>
      <x:c r="D1" s="3" t="str">
        <x:v>Resumen de escenarios al 2030</x:v>
      </x:c>
      <x:c r="E1" s="3" t="str">
        <x:v>Resumen de escenarios al 2030</x:v>
      </x:c>
      <x:c r="F1" s="3" t="str">
        <x:v>Resumen de escenarios al 2030</x:v>
      </x:c>
      <x:c r="G1" s="3" t="str">
        <x:v>Resumen de escenarios al 2030</x:v>
      </x:c>
      <x:c r="H1" s="3" t="str">
        <x:v>Resumen de escenarios al 2030</x:v>
      </x:c>
      <x:c r="I1" s="3" t="str">
        <x:v>Resumen de escenarios al 2030</x:v>
      </x:c>
      <x:c r="J1" s="3" t="str">
        <x:v>Resumen de escenarios al 2030</x:v>
      </x:c>
      <x:c r="K1" s="3" t="str">
        <x:v>Resumen de escenarios al 2030</x:v>
      </x:c>
      <x:c r="L1" s="3" t="str">
        <x:v>Resumen de escenarios al 2030</x:v>
      </x:c>
      <x:c r="M1" s="3" t="str">
        <x:v>Resumen de escenarios al 2030</x:v>
      </x:c>
    </x:row>
    <x:row r="2" ht="15" hidden="0" customHeight="1">
      <x:c r="A2" s="7" t="str">
        <x:v>Resultado central determinista y envolvente p10–p90 de sensibilidad conjunta. La base de clasificación se declara explícitamente.</x:v>
      </x:c>
      <x:c r="B2" s="7" t="str">
        <x:v>Resultado central determinista y envolvente p10–p90 de sensibilidad conjunta. La base de clasificación se declara explícitamente.</x:v>
      </x:c>
      <x:c r="C2" s="7" t="str">
        <x:v>Resultado central determinista y envolvente p10–p90 de sensibilidad conjunta. La base de clasificación se declara explícitamente.</x:v>
      </x:c>
      <x:c r="D2" s="7" t="str">
        <x:v>Resultado central determinista y envolvente p10–p90 de sensibilidad conjunta. La base de clasificación se declara explícitamente.</x:v>
      </x:c>
      <x:c r="E2" s="7" t="str">
        <x:v>Resultado central determinista y envolvente p10–p90 de sensibilidad conjunta. La base de clasificación se declara explícitamente.</x:v>
      </x:c>
      <x:c r="F2" s="7" t="str">
        <x:v>Resultado central determinista y envolvente p10–p90 de sensibilidad conjunta. La base de clasificación se declara explícitamente.</x:v>
      </x:c>
      <x:c r="G2" s="7" t="str">
        <x:v>Resultado central determinista y envolvente p10–p90 de sensibilidad conjunta. La base de clasificación se declara explícitamente.</x:v>
      </x:c>
      <x:c r="H2" s="7" t="str">
        <x:v>Resultado central determinista y envolvente p10–p90 de sensibilidad conjunta. La base de clasificación se declara explícitamente.</x:v>
      </x:c>
      <x:c r="I2" s="7" t="str">
        <x:v>Resultado central determinista y envolvente p10–p90 de sensibilidad conjunta. La base de clasificación se declara explícitamente.</x:v>
      </x:c>
      <x:c r="J2" s="7" t="str">
        <x:v>Resultado central determinista y envolvente p10–p90 de sensibilidad conjunta. La base de clasificación se declara explícitamente.</x:v>
      </x:c>
      <x:c r="K2" s="7" t="str">
        <x:v>Resultado central determinista y envolvente p10–p90 de sensibilidad conjunta. La base de clasificación se declara explícitamente.</x:v>
      </x:c>
      <x:c r="L2" s="7" t="str">
        <x:v>Resultado central determinista y envolvente p10–p90 de sensibilidad conjunta. La base de clasificación se declara explícitamente.</x:v>
      </x:c>
      <x:c r="M2" s="7" t="str">
        <x:v>Resultado central determinista y envolvente p10–p90 de sensibilidad conjunta. La base de clasificación se declara explícitamente.</x:v>
      </x:c>
    </x:row>
    <x:row r="3" ht="15" hidden="0" customHeight="1">
      <x:c r="A3" s="8"/>
      <x:c r="B3" s="8"/>
      <x:c r="C3" s="8"/>
      <x:c r="D3" s="8"/>
      <x:c r="E3" s="8"/>
      <x:c r="F3" s="8"/>
      <x:c r="G3" s="8"/>
      <x:c r="H3" s="8"/>
      <x:c r="I3" s="8"/>
      <x:c r="J3" s="8"/>
      <x:c r="K3" s="8"/>
      <x:c r="L3" s="8"/>
      <x:c r="M3" s="8"/>
    </x:row>
    <x:row r="4"/>
    <x:row r="5" ht="15" hidden="0" customHeight="1">
      <x:c r="A5" s="14" t="str">
        <x:v>scenario_id</x:v>
      </x:c>
      <x:c r="B5" s="14" t="str">
        <x:v>scenario_name</x:v>
      </x:c>
      <x:c r="C5" s="14" t="str">
        <x:v>scenario_type</x:v>
      </x:c>
      <x:c r="D5" s="14" t="str">
        <x:v>description</x:v>
      </x:c>
      <x:c r="E5" s="14" t="str">
        <x:v>score_2026</x:v>
      </x:c>
      <x:c r="F5" s="14" t="str">
        <x:v>score_2030</x:v>
      </x:c>
      <x:c r="G5" s="14" t="str">
        <x:v>regime_2030</x:v>
      </x:c>
      <x:c r="H5" s="14" t="str">
        <x:v>triggers</x:v>
      </x:c>
      <x:c r="I5" s="14" t="str">
        <x:v>warnings</x:v>
      </x:c>
      <x:c r="J5" s="14" t="str">
        <x:v>p10_2030</x:v>
      </x:c>
      <x:c r="K5" s="14" t="str">
        <x:v>p50_2030</x:v>
      </x:c>
      <x:c r="L5" s="14" t="str">
        <x:v>p90_2030</x:v>
      </x:c>
      <x:c r="M5" s="14" t="str">
        <x:v>classification_basis</x:v>
      </x:c>
    </x:row>
    <x:row r="6" ht="15" hidden="0" customHeight="1">
      <x:c r="A6" s="58" t="str">
        <x:v>recuperacion_institucional</x:v>
      </x:c>
      <x:c r="B6" s="58" t="str">
        <x:v>Recuperación institucional y gobernabilidad negociada</x:v>
      </x:c>
      <x:c r="C6" s="58" t="str">
        <x:v>favorable</x:v>
      </x:c>
      <x:c r="D6" s="58" t="str">
        <x:v>La legitimidad electoral se consolida, se implementan recomendaciones de observación electoral, el Ejecutivo negocia con el Congreso bicameral y la política de seguridad mantiene controles judiciales y de derechos.</x:v>
      </x:c>
      <x:c r="E6" s="59" t="n">
        <x:v>5.984</x:v>
      </x:c>
      <x:c r="F6" s="59" t="n">
        <x:v>6.222</x:v>
      </x:c>
      <x:c r="G6" s="58" t="str">
        <x:v>Flawed democracy</x:v>
      </x:c>
      <x:c r="H6" s="58" t="str">
        <x:v>Implementación verificable de recomendaciones UE/OEA; coaliciones legislativas estables; mejora del funcionamiento gubernamental; seguridad con control judicial; reducción de polarización.</x:v>
      </x:c>
      <x:c r="I6" s="58" t="str">
        <x:v>Requiere continuidad de reformas; no presupone eliminación de fragmentación ni mejora automática de cultura política.</x:v>
      </x:c>
      <x:c r="J6" s="59" t="n">
        <x:v>6.042</x:v>
      </x:c>
      <x:c r="K6" s="59" t="n">
        <x:v>6.224</x:v>
      </x:c>
      <x:c r="L6" s="59" t="n">
        <x:v>6.402</x:v>
      </x:c>
      <x:c r="M6" s="58" t="str">
        <x:v>central deterministic trajectory</x:v>
      </x:c>
    </x:row>
    <x:row r="7" ht="15" hidden="0" customHeight="1">
      <x:c r="A7" s="57" t="str">
        <x:v>continuidad_hibrida</x:v>
      </x:c>
      <x:c r="B7" s="57" t="str">
        <x:v>Continuidad híbrida y estabilización competitiva</x:v>
      </x:c>
      <x:c r="C7" s="57" t="str">
        <x:v>baseline</x:v>
      </x:c>
      <x:c r="D7" s="57" t="str">
        <x:v>El resultado electoral se institucionaliza, pero persisten fragmentación, baja confianza y tensiones Ejecutivo-Congreso. Hay continuidad procedimental sin reforma estructural suficiente.</x:v>
      </x:c>
      <x:c r="E7" s="60" t="n">
        <x:v>5.86</x:v>
      </x:c>
      <x:c r="F7" s="60" t="n">
        <x:v>5.874</x:v>
      </x:c>
      <x:c r="G7" s="57" t="str">
        <x:v>Hybrid regime</x:v>
      </x:c>
      <x:c r="H7" s="57" t="str">
        <x:v>Aceptación formal del resultado; competencia electoral preservada; reformas parciales; ciclos de conflicto político sin ruptura institucional.</x:v>
      </x:c>
      <x:c r="I7" s="57" t="str">
        <x:v>El puntaje permanece bajo el umbral de democracia defectuosa; cultura política sigue siendo cuello de botella.</x:v>
      </x:c>
      <x:c r="J7" s="60" t="n">
        <x:v>5.694</x:v>
      </x:c>
      <x:c r="K7" s="60" t="n">
        <x:v>5.874</x:v>
      </x:c>
      <x:c r="L7" s="60" t="n">
        <x:v>6.05</x:v>
      </x:c>
      <x:c r="M7" s="57" t="str">
        <x:v>central deterministic trajectory</x:v>
      </x:c>
    </x:row>
    <x:row r="8" ht="15" hidden="0" customHeight="1">
      <x:c r="A8" s="58" t="str">
        <x:v>deriva_restrictiva</x:v>
      </x:c>
      <x:c r="B8" s="58" t="str">
        <x:v>Deriva restrictiva y securitización</x:v>
      </x:c>
      <x:c r="C8" s="58" t="str">
        <x:v>adverse</x:v>
      </x:c>
      <x:c r="D8" s="58" t="str">
        <x:v>La respuesta a inseguridad y conflicto político amplía excepcionalidad, erosiona controles y libertades, y la polarización dificulta la rendición de cuentas aunque se preserven elecciones competitivas.</x:v>
      </x:c>
      <x:c r="E8" s="59" t="n">
        <x:v>5.708</x:v>
      </x:c>
      <x:c r="F8" s="59" t="n">
        <x:v>5.348</x:v>
      </x:c>
      <x:c r="G8" s="58" t="str">
        <x:v>Hybrid regime</x:v>
      </x:c>
      <x:c r="H8" s="58" t="str">
        <x:v>Endurecimiento securitario sin salvaguardas; captura o debilitamiento de contrapesos; conflicto sostenido con oposición; restricciones a protesta/expresión; crisis de confianza electoral.</x:v>
      </x:c>
      <x:c r="I8" s="58" t="str">
        <x:v>No implica autoritarismo pleno: modela un híbrido más restrictivo con deterioro concentrado en gobierno, cultura y libertades.</x:v>
      </x:c>
      <x:c r="J8" s="59" t="n">
        <x:v>5.163</x:v>
      </x:c>
      <x:c r="K8" s="59" t="n">
        <x:v>5.349</x:v>
      </x:c>
      <x:c r="L8" s="59" t="n">
        <x:v>5.535</x:v>
      </x:c>
      <x:c r="M8" s="58" t="str">
        <x:v>central deterministic trajectory</x:v>
      </x:c>
    </x:row>
  </x:sheetData>
  <x:mergeCells>
    <x:mergeCell ref="A1:M1"/>
    <x:mergeCell ref="A2:M2"/>
  </x:mergeCells>
  <x:pageMargins left="0.7" right="0.7" top="0.75" bottom="0.75" header="0.3" footer="0.3"/>
  <x:tableParts count="1">
    <x:tablePart xmlns:r="http://schemas.openxmlformats.org/officeDocument/2006/relationships" r:id="R2cb201c6ee07412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32" hidden="0" customWidth="1"/>
    <x:col min="4" max="4" width="32" hidden="0" customWidth="1"/>
    <x:col min="5" max="5" width="32" hidden="0" customWidth="1"/>
    <x:col min="6" max="6" width="32" hidden="0" customWidth="1"/>
    <x:col min="7" max="7" width="44" hidden="0" customWidth="1"/>
    <x:col min="8" max="8" width="44" hidden="0" customWidth="1"/>
  </x:cols>
  <x:sheetData>
    <x:row r="1" ht="19.200000762939453" hidden="0" customHeight="1">
      <x:c r="A1" s="3" t="str">
        <x:v>Sensibilidad agregada por año</x:v>
      </x:c>
      <x:c r="B1" s="3" t="str">
        <x:v>Sensibilidad agregada por año</x:v>
      </x:c>
      <x:c r="C1" s="3" t="str">
        <x:v>Sensibilidad agregada por año</x:v>
      </x:c>
      <x:c r="D1" s="3" t="str">
        <x:v>Sensibilidad agregada por año</x:v>
      </x:c>
      <x:c r="E1" s="3" t="str">
        <x:v>Sensibilidad agregada por año</x:v>
      </x:c>
      <x:c r="F1" s="3" t="str">
        <x:v>Sensibilidad agregada por año</x:v>
      </x:c>
      <x:c r="G1" s="3" t="str">
        <x:v>Sensibilidad agregada por año</x:v>
      </x:c>
      <x:c r="H1" s="3" t="str">
        <x:v>Sensibilidad agregada por año</x:v>
      </x:c>
    </x:row>
    <x:row r="2" ht="15" hidden="0" customHeight="1">
      <x:c r="A2" s="7" t="str">
        <x:v>10.000 simulaciones por escenario con números aleatorios comunes. p10–p90 no es intervalo de confianza ni probabilidad del escenario.</x:v>
      </x:c>
      <x:c r="B2" s="7" t="str">
        <x:v>10.000 simulaciones por escenario con números aleatorios comunes. p10–p90 no es intervalo de confianza ni probabilidad del escenario.</x:v>
      </x:c>
      <x:c r="C2" s="7" t="str">
        <x:v>10.000 simulaciones por escenario con números aleatorios comunes. p10–p90 no es intervalo de confianza ni probabilidad del escenario.</x:v>
      </x:c>
      <x:c r="D2" s="7" t="str">
        <x:v>10.000 simulaciones por escenario con números aleatorios comunes. p10–p90 no es intervalo de confianza ni probabilidad del escenario.</x:v>
      </x:c>
      <x:c r="E2" s="7" t="str">
        <x:v>10.000 simulaciones por escenario con números aleatorios comunes. p10–p90 no es intervalo de confianza ni probabilidad del escenario.</x:v>
      </x:c>
      <x:c r="F2" s="7" t="str">
        <x:v>10.000 simulaciones por escenario con números aleatorios comunes. p10–p90 no es intervalo de confianza ni probabilidad del escenario.</x:v>
      </x:c>
      <x:c r="G2" s="7" t="str">
        <x:v>10.000 simulaciones por escenario con números aleatorios comunes. p10–p90 no es intervalo de confianza ni probabilidad del escenario.</x:v>
      </x:c>
      <x:c r="H2" s="7" t="str">
        <x:v>10.000 simulaciones por escenario con números aleatorios comunes. p10–p90 no es intervalo de confianza ni probabilidad del escenario.</x:v>
      </x:c>
    </x:row>
    <x:row r="3" ht="15" hidden="0" customHeight="1">
      <x:c r="A3" s="8"/>
      <x:c r="B3" s="8"/>
      <x:c r="C3" s="8"/>
      <x:c r="D3" s="8"/>
      <x:c r="E3" s="8"/>
      <x:c r="F3" s="8"/>
      <x:c r="G3" s="8"/>
      <x:c r="H3" s="8"/>
    </x:row>
    <x:row r="4"/>
    <x:row r="5" ht="15" hidden="0" customHeight="1">
      <x:c r="A5" s="14" t="str">
        <x:v>scenario_id</x:v>
      </x:c>
      <x:c r="B5" s="14" t="str">
        <x:v>year</x:v>
      </x:c>
      <x:c r="C5" s="14" t="str">
        <x:v>p10</x:v>
      </x:c>
      <x:c r="D5" s="14" t="str">
        <x:v>p50</x:v>
      </x:c>
      <x:c r="E5" s="14" t="str">
        <x:v>p90</x:v>
      </x:c>
      <x:c r="F5" s="14" t="str">
        <x:v>n_sim</x:v>
      </x:c>
      <x:c r="G5" s="14" t="str">
        <x:v>uncertainty_layers</x:v>
      </x:c>
      <x:c r="H5" s="14" t="str">
        <x:v>note</x:v>
      </x:c>
    </x:row>
    <x:row r="6" ht="15" hidden="0" customHeight="1">
      <x:c r="A6" s="58" t="str">
        <x:v>recuperacion_institucional</x:v>
      </x:c>
      <x:c r="B6" s="59" t="n">
        <x:v>2025</x:v>
      </x:c>
      <x:c r="C6" s="59" t="n">
        <x:v>5.88</x:v>
      </x:c>
      <x:c r="D6" s="59" t="n">
        <x:v>5.88</x:v>
      </x:c>
      <x:c r="E6" s="59" t="n">
        <x:v>5.88</x:v>
      </x:c>
      <x:c r="F6" s="59" t="n">
        <x:v>10000</x:v>
      </x:c>
      <x:c r="G6" s="58" t="str">
        <x:v>2025 dimensional composition; bounded scenario parameters; structural-rate scale; correlated residual perturbation</x:v>
      </x:c>
      <x:c r="H6" s="58" t="str">
        <x:v>Sensitivity envelope; not a confidence interval and not a scenario-occurrence probability.</x:v>
      </x:c>
    </x:row>
    <x:row r="7" ht="15" hidden="0" customHeight="1">
      <x:c r="A7" s="57" t="str">
        <x:v>recuperacion_institucional</x:v>
      </x:c>
      <x:c r="B7" s="60" t="n">
        <x:v>2026</x:v>
      </x:c>
      <x:c r="C7" s="60" t="n">
        <x:v>5.906</x:v>
      </x:c>
      <x:c r="D7" s="60" t="n">
        <x:v>5.983</x:v>
      </x:c>
      <x:c r="E7" s="60" t="n">
        <x:v>6.062</x:v>
      </x:c>
      <x:c r="F7" s="60" t="n">
        <x:v>10000</x:v>
      </x:c>
      <x:c r="G7" s="57" t="str">
        <x:v>2025 dimensional composition; bounded scenario parameters; structural-rate scale; correlated residual perturbation</x:v>
      </x:c>
      <x:c r="H7" s="57" t="str">
        <x:v>Sensitivity envelope; not a confidence interval and not a scenario-occurrence probability.</x:v>
      </x:c>
    </x:row>
    <x:row r="8" ht="15" hidden="0" customHeight="1">
      <x:c r="A8" s="58" t="str">
        <x:v>recuperacion_institucional</x:v>
      </x:c>
      <x:c r="B8" s="59" t="n">
        <x:v>2027</x:v>
      </x:c>
      <x:c r="C8" s="59" t="n">
        <x:v>5.943</x:v>
      </x:c>
      <x:c r="D8" s="59" t="n">
        <x:v>6.053</x:v>
      </x:c>
      <x:c r="E8" s="59" t="n">
        <x:v>6.165</x:v>
      </x:c>
      <x:c r="F8" s="59" t="n">
        <x:v>10000</x:v>
      </x:c>
      <x:c r="G8" s="58" t="str">
        <x:v>2025 dimensional composition; bounded scenario parameters; structural-rate scale; correlated residual perturbation</x:v>
      </x:c>
      <x:c r="H8" s="58" t="str">
        <x:v>Sensitivity envelope; not a confidence interval and not a scenario-occurrence probability.</x:v>
      </x:c>
    </x:row>
    <x:row r="9" ht="15" hidden="0" customHeight="1">
      <x:c r="A9" s="57" t="str">
        <x:v>recuperacion_institucional</x:v>
      </x:c>
      <x:c r="B9" s="60" t="n">
        <x:v>2028</x:v>
      </x:c>
      <x:c r="C9" s="60" t="n">
        <x:v>5.98</x:v>
      </x:c>
      <x:c r="D9" s="60" t="n">
        <x:v>6.117</x:v>
      </x:c>
      <x:c r="E9" s="60" t="n">
        <x:v>6.253</x:v>
      </x:c>
      <x:c r="F9" s="60" t="n">
        <x:v>10000</x:v>
      </x:c>
      <x:c r="G9" s="57" t="str">
        <x:v>2025 dimensional composition; bounded scenario parameters; structural-rate scale; correlated residual perturbation</x:v>
      </x:c>
      <x:c r="H9" s="57" t="str">
        <x:v>Sensitivity envelope; not a confidence interval and not a scenario-occurrence probability.</x:v>
      </x:c>
    </x:row>
    <x:row r="10" ht="15" hidden="0" customHeight="1">
      <x:c r="A10" s="58" t="str">
        <x:v>recuperacion_institucional</x:v>
      </x:c>
      <x:c r="B10" s="59" t="n">
        <x:v>2029</x:v>
      </x:c>
      <x:c r="C10" s="59" t="n">
        <x:v>6.013</x:v>
      </x:c>
      <x:c r="D10" s="59" t="n">
        <x:v>6.174</x:v>
      </x:c>
      <x:c r="E10" s="59" t="n">
        <x:v>6.334</x:v>
      </x:c>
      <x:c r="F10" s="59" t="n">
        <x:v>10000</x:v>
      </x:c>
      <x:c r="G10" s="58" t="str">
        <x:v>2025 dimensional composition; bounded scenario parameters; structural-rate scale; correlated residual perturbation</x:v>
      </x:c>
      <x:c r="H10" s="58" t="str">
        <x:v>Sensitivity envelope; not a confidence interval and not a scenario-occurrence probability.</x:v>
      </x:c>
    </x:row>
    <x:row r="11" ht="15" hidden="0" customHeight="1">
      <x:c r="A11" s="57" t="str">
        <x:v>recuperacion_institucional</x:v>
      </x:c>
      <x:c r="B11" s="60" t="n">
        <x:v>2030</x:v>
      </x:c>
      <x:c r="C11" s="60" t="n">
        <x:v>6.042</x:v>
      </x:c>
      <x:c r="D11" s="60" t="n">
        <x:v>6.224</x:v>
      </x:c>
      <x:c r="E11" s="60" t="n">
        <x:v>6.402</x:v>
      </x:c>
      <x:c r="F11" s="60" t="n">
        <x:v>10000</x:v>
      </x:c>
      <x:c r="G11" s="57" t="str">
        <x:v>2025 dimensional composition; bounded scenario parameters; structural-rate scale; correlated residual perturbation</x:v>
      </x:c>
      <x:c r="H11" s="57" t="str">
        <x:v>Sensitivity envelope; not a confidence interval and not a scenario-occurrence probability.</x:v>
      </x:c>
    </x:row>
    <x:row r="12" ht="15" hidden="0" customHeight="1">
      <x:c r="A12" s="58" t="str">
        <x:v>continuidad_hibrida</x:v>
      </x:c>
      <x:c r="B12" s="59" t="n">
        <x:v>2025</x:v>
      </x:c>
      <x:c r="C12" s="59" t="n">
        <x:v>5.88</x:v>
      </x:c>
      <x:c r="D12" s="59" t="n">
        <x:v>5.88</x:v>
      </x:c>
      <x:c r="E12" s="59" t="n">
        <x:v>5.88</x:v>
      </x:c>
      <x:c r="F12" s="59" t="n">
        <x:v>10000</x:v>
      </x:c>
      <x:c r="G12" s="58" t="str">
        <x:v>2025 dimensional composition; bounded scenario parameters; structural-rate scale; correlated residual perturbation</x:v>
      </x:c>
      <x:c r="H12" s="58" t="str">
        <x:v>Sensitivity envelope; not a confidence interval and not a scenario-occurrence probability.</x:v>
      </x:c>
    </x:row>
    <x:row r="13" ht="15" hidden="0" customHeight="1">
      <x:c r="A13" s="57" t="str">
        <x:v>continuidad_hibrida</x:v>
      </x:c>
      <x:c r="B13" s="60" t="n">
        <x:v>2026</x:v>
      </x:c>
      <x:c r="C13" s="60" t="n">
        <x:v>5.78</x:v>
      </x:c>
      <x:c r="D13" s="60" t="n">
        <x:v>5.857</x:v>
      </x:c>
      <x:c r="E13" s="60" t="n">
        <x:v>5.937</x:v>
      </x:c>
      <x:c r="F13" s="60" t="n">
        <x:v>10000</x:v>
      </x:c>
      <x:c r="G13" s="57" t="str">
        <x:v>2025 dimensional composition; bounded scenario parameters; structural-rate scale; correlated residual perturbation</x:v>
      </x:c>
      <x:c r="H13" s="57" t="str">
        <x:v>Sensitivity envelope; not a confidence interval and not a scenario-occurrence probability.</x:v>
      </x:c>
    </x:row>
    <x:row r="14" ht="15" hidden="0" customHeight="1">
      <x:c r="A14" s="58" t="str">
        <x:v>continuidad_hibrida</x:v>
      </x:c>
      <x:c r="B14" s="59" t="n">
        <x:v>2027</x:v>
      </x:c>
      <x:c r="C14" s="59" t="n">
        <x:v>5.751</x:v>
      </x:c>
      <x:c r="D14" s="59" t="n">
        <x:v>5.862</x:v>
      </x:c>
      <x:c r="E14" s="59" t="n">
        <x:v>5.973</x:v>
      </x:c>
      <x:c r="F14" s="59" t="n">
        <x:v>10000</x:v>
      </x:c>
      <x:c r="G14" s="58" t="str">
        <x:v>2025 dimensional composition; bounded scenario parameters; structural-rate scale; correlated residual perturbation</x:v>
      </x:c>
      <x:c r="H14" s="58" t="str">
        <x:v>Sensitivity envelope; not a confidence interval and not a scenario-occurrence probability.</x:v>
      </x:c>
    </x:row>
    <x:row r="15" ht="15" hidden="0" customHeight="1">
      <x:c r="A15" s="57" t="str">
        <x:v>continuidad_hibrida</x:v>
      </x:c>
      <x:c r="B15" s="60" t="n">
        <x:v>2028</x:v>
      </x:c>
      <x:c r="C15" s="60" t="n">
        <x:v>5.73</x:v>
      </x:c>
      <x:c r="D15" s="60" t="n">
        <x:v>5.865</x:v>
      </x:c>
      <x:c r="E15" s="60" t="n">
        <x:v>6.001</x:v>
      </x:c>
      <x:c r="F15" s="60" t="n">
        <x:v>10000</x:v>
      </x:c>
      <x:c r="G15" s="57" t="str">
        <x:v>2025 dimensional composition; bounded scenario parameters; structural-rate scale; correlated residual perturbation</x:v>
      </x:c>
      <x:c r="H15" s="57" t="str">
        <x:v>Sensitivity envelope; not a confidence interval and not a scenario-occurrence probability.</x:v>
      </x:c>
    </x:row>
    <x:row r="16" ht="15" hidden="0" customHeight="1">
      <x:c r="A16" s="58" t="str">
        <x:v>continuidad_hibrida</x:v>
      </x:c>
      <x:c r="B16" s="59" t="n">
        <x:v>2029</x:v>
      </x:c>
      <x:c r="C16" s="59" t="n">
        <x:v>5.709</x:v>
      </x:c>
      <x:c r="D16" s="59" t="n">
        <x:v>5.869</x:v>
      </x:c>
      <x:c r="E16" s="59" t="n">
        <x:v>6.027</x:v>
      </x:c>
      <x:c r="F16" s="59" t="n">
        <x:v>10000</x:v>
      </x:c>
      <x:c r="G16" s="58" t="str">
        <x:v>2025 dimensional composition; bounded scenario parameters; structural-rate scale; correlated residual perturbation</x:v>
      </x:c>
      <x:c r="H16" s="58" t="str">
        <x:v>Sensitivity envelope; not a confidence interval and not a scenario-occurrence probability.</x:v>
      </x:c>
    </x:row>
    <x:row r="17" ht="15" hidden="0" customHeight="1">
      <x:c r="A17" s="57" t="str">
        <x:v>continuidad_hibrida</x:v>
      </x:c>
      <x:c r="B17" s="60" t="n">
        <x:v>2030</x:v>
      </x:c>
      <x:c r="C17" s="60" t="n">
        <x:v>5.694</x:v>
      </x:c>
      <x:c r="D17" s="60" t="n">
        <x:v>5.874</x:v>
      </x:c>
      <x:c r="E17" s="60" t="n">
        <x:v>6.05</x:v>
      </x:c>
      <x:c r="F17" s="60" t="n">
        <x:v>10000</x:v>
      </x:c>
      <x:c r="G17" s="57" t="str">
        <x:v>2025 dimensional composition; bounded scenario parameters; structural-rate scale; correlated residual perturbation</x:v>
      </x:c>
      <x:c r="H17" s="57" t="str">
        <x:v>Sensitivity envelope; not a confidence interval and not a scenario-occurrence probability.</x:v>
      </x:c>
    </x:row>
    <x:row r="18" ht="15" hidden="0" customHeight="1">
      <x:c r="A18" s="58" t="str">
        <x:v>deriva_restrictiva</x:v>
      </x:c>
      <x:c r="B18" s="59" t="n">
        <x:v>2025</x:v>
      </x:c>
      <x:c r="C18" s="59" t="n">
        <x:v>5.88</x:v>
      </x:c>
      <x:c r="D18" s="59" t="n">
        <x:v>5.88</x:v>
      </x:c>
      <x:c r="E18" s="59" t="n">
        <x:v>5.88</x:v>
      </x:c>
      <x:c r="F18" s="59" t="n">
        <x:v>10000</x:v>
      </x:c>
      <x:c r="G18" s="58" t="str">
        <x:v>2025 dimensional composition; bounded scenario parameters; structural-rate scale; correlated residual perturbation</x:v>
      </x:c>
      <x:c r="H18" s="58" t="str">
        <x:v>Sensitivity envelope; not a confidence interval and not a scenario-occurrence probability.</x:v>
      </x:c>
    </x:row>
    <x:row r="19" ht="15" hidden="0" customHeight="1">
      <x:c r="A19" s="57" t="str">
        <x:v>deriva_restrictiva</x:v>
      </x:c>
      <x:c r="B19" s="60" t="n">
        <x:v>2026</x:v>
      </x:c>
      <x:c r="C19" s="60" t="n">
        <x:v>5.627</x:v>
      </x:c>
      <x:c r="D19" s="60" t="n">
        <x:v>5.707</x:v>
      </x:c>
      <x:c r="E19" s="60" t="n">
        <x:v>5.789</x:v>
      </x:c>
      <x:c r="F19" s="60" t="n">
        <x:v>10000</x:v>
      </x:c>
      <x:c r="G19" s="57" t="str">
        <x:v>2025 dimensional composition; bounded scenario parameters; structural-rate scale; correlated residual perturbation</x:v>
      </x:c>
      <x:c r="H19" s="57" t="str">
        <x:v>Sensitivity envelope; not a confidence interval and not a scenario-occurrence probability.</x:v>
      </x:c>
    </x:row>
    <x:row r="20" ht="15" hidden="0" customHeight="1">
      <x:c r="A20" s="58" t="str">
        <x:v>deriva_restrictiva</x:v>
      </x:c>
      <x:c r="B20" s="59" t="n">
        <x:v>2027</x:v>
      </x:c>
      <x:c r="C20" s="59" t="n">
        <x:v>5.489</x:v>
      </x:c>
      <x:c r="D20" s="59" t="n">
        <x:v>5.602</x:v>
      </x:c>
      <x:c r="E20" s="59" t="n">
        <x:v>5.716</x:v>
      </x:c>
      <x:c r="F20" s="59" t="n">
        <x:v>10000</x:v>
      </x:c>
      <x:c r="G20" s="58" t="str">
        <x:v>2025 dimensional composition; bounded scenario parameters; structural-rate scale; correlated residual perturbation</x:v>
      </x:c>
      <x:c r="H20" s="58" t="str">
        <x:v>Sensitivity envelope; not a confidence interval and not a scenario-occurrence probability.</x:v>
      </x:c>
    </x:row>
    <x:row r="21" ht="15" hidden="0" customHeight="1">
      <x:c r="A21" s="57" t="str">
        <x:v>deriva_restrictiva</x:v>
      </x:c>
      <x:c r="B21" s="60" t="n">
        <x:v>2028</x:v>
      </x:c>
      <x:c r="C21" s="60" t="n">
        <x:v>5.365</x:v>
      </x:c>
      <x:c r="D21" s="60" t="n">
        <x:v>5.507</x:v>
      </x:c>
      <x:c r="E21" s="60" t="n">
        <x:v>5.646</x:v>
      </x:c>
      <x:c r="F21" s="60" t="n">
        <x:v>10000</x:v>
      </x:c>
      <x:c r="G21" s="57" t="str">
        <x:v>2025 dimensional composition; bounded scenario parameters; structural-rate scale; correlated residual perturbation</x:v>
      </x:c>
      <x:c r="H21" s="57" t="str">
        <x:v>Sensitivity envelope; not a confidence interval and not a scenario-occurrence probability.</x:v>
      </x:c>
    </x:row>
    <x:row r="22" ht="15" hidden="0" customHeight="1">
      <x:c r="A22" s="58" t="str">
        <x:v>deriva_restrictiva</x:v>
      </x:c>
      <x:c r="B22" s="59" t="n">
        <x:v>2029</x:v>
      </x:c>
      <x:c r="C22" s="59" t="n">
        <x:v>5.258</x:v>
      </x:c>
      <x:c r="D22" s="59" t="n">
        <x:v>5.423</x:v>
      </x:c>
      <x:c r="E22" s="59" t="n">
        <x:v>5.585</x:v>
      </x:c>
      <x:c r="F22" s="59" t="n">
        <x:v>10000</x:v>
      </x:c>
      <x:c r="G22" s="58" t="str">
        <x:v>2025 dimensional composition; bounded scenario parameters; structural-rate scale; correlated residual perturbation</x:v>
      </x:c>
      <x:c r="H22" s="58" t="str">
        <x:v>Sensitivity envelope; not a confidence interval and not a scenario-occurrence probability.</x:v>
      </x:c>
    </x:row>
    <x:row r="23" ht="15" hidden="0" customHeight="1">
      <x:c r="A23" s="57" t="str">
        <x:v>deriva_restrictiva</x:v>
      </x:c>
      <x:c r="B23" s="60" t="n">
        <x:v>2030</x:v>
      </x:c>
      <x:c r="C23" s="60" t="n">
        <x:v>5.163</x:v>
      </x:c>
      <x:c r="D23" s="60" t="n">
        <x:v>5.349</x:v>
      </x:c>
      <x:c r="E23" s="60" t="n">
        <x:v>5.535</x:v>
      </x:c>
      <x:c r="F23" s="60" t="n">
        <x:v>10000</x:v>
      </x:c>
      <x:c r="G23" s="57" t="str">
        <x:v>2025 dimensional composition; bounded scenario parameters; structural-rate scale; correlated residual perturbation</x:v>
      </x:c>
      <x:c r="H23" s="57" t="str">
        <x:v>Sensitivity envelope; not a confidence interval and not a scenario-occurrence probability.</x:v>
      </x:c>
    </x:row>
  </x:sheetData>
  <x:mergeCells>
    <x:mergeCell ref="A1:H1"/>
    <x:mergeCell ref="A2:H2"/>
  </x:mergeCells>
  <x:pageMargins left="0.7" right="0.7" top="0.75" bottom="0.75" header="0.3" footer="0.3"/>
  <x:tableParts count="1">
    <x:tablePart xmlns:r="http://schemas.openxmlformats.org/officeDocument/2006/relationships" r:id="R82e2b75f381a46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44" hidden="0" customWidth="1"/>
    <x:col min="4" max="4" width="44" hidden="0" customWidth="1"/>
    <x:col min="5" max="5" width="30" hidden="0" customWidth="1"/>
    <x:col min="6" max="6" width="30" hidden="0" customWidth="1"/>
    <x:col min="7" max="7" width="30" hidden="0" customWidth="1"/>
    <x:col min="8" max="8" width="30" hidden="0" customWidth="1"/>
  </x:cols>
  <x:sheetData>
    <x:row r="1" ht="19.200000762939453" hidden="0" customHeight="1">
      <x:c r="A1" s="3" t="str">
        <x:v>Sensibilidad por dimensión</x:v>
      </x:c>
      <x:c r="B1" s="3" t="str">
        <x:v>Sensibilidad por dimensión</x:v>
      </x:c>
      <x:c r="C1" s="3" t="str">
        <x:v>Sensibilidad por dimensión</x:v>
      </x:c>
      <x:c r="D1" s="3" t="str">
        <x:v>Sensibilidad por dimensión</x:v>
      </x:c>
      <x:c r="E1" s="3" t="str">
        <x:v>Sensibilidad por dimensión</x:v>
      </x:c>
      <x:c r="F1" s="3" t="str">
        <x:v>Sensibilidad por dimensión</x:v>
      </x:c>
      <x:c r="G1" s="3" t="str">
        <x:v>Sensibilidad por dimensión</x:v>
      </x:c>
      <x:c r="H1" s="3" t="str">
        <x:v>Sensibilidad por dimensión</x:v>
      </x:c>
    </x:row>
    <x:row r="2" ht="15" hidden="0" customHeight="1">
      <x:c r="A2" s="7" t="str">
        <x:v>Envolventes p10–p90 para cada dimensión, año y escenario; permiten auditar cómo la incertidumbre conjunta se transmite al índice total.</x:v>
      </x:c>
      <x:c r="B2" s="7" t="str">
        <x:v>Envolventes p10–p90 para cada dimensión, año y escenario; permiten auditar cómo la incertidumbre conjunta se transmite al índice total.</x:v>
      </x:c>
      <x:c r="C2" s="7" t="str">
        <x:v>Envolventes p10–p90 para cada dimensión, año y escenario; permiten auditar cómo la incertidumbre conjunta se transmite al índice total.</x:v>
      </x:c>
      <x:c r="D2" s="7" t="str">
        <x:v>Envolventes p10–p90 para cada dimensión, año y escenario; permiten auditar cómo la incertidumbre conjunta se transmite al índice total.</x:v>
      </x:c>
      <x:c r="E2" s="7" t="str">
        <x:v>Envolventes p10–p90 para cada dimensión, año y escenario; permiten auditar cómo la incertidumbre conjunta se transmite al índice total.</x:v>
      </x:c>
      <x:c r="F2" s="7" t="str">
        <x:v>Envolventes p10–p90 para cada dimensión, año y escenario; permiten auditar cómo la incertidumbre conjunta se transmite al índice total.</x:v>
      </x:c>
      <x:c r="G2" s="7" t="str">
        <x:v>Envolventes p10–p90 para cada dimensión, año y escenario; permiten auditar cómo la incertidumbre conjunta se transmite al índice total.</x:v>
      </x:c>
      <x:c r="H2" s="7" t="str">
        <x:v>Envolventes p10–p90 para cada dimensión, año y escenario; permiten auditar cómo la incertidumbre conjunta se transmite al índice total.</x:v>
      </x:c>
    </x:row>
    <x:row r="3" ht="15" hidden="0" customHeight="1">
      <x:c r="A3" s="8"/>
      <x:c r="B3" s="8"/>
      <x:c r="C3" s="8"/>
      <x:c r="D3" s="8"/>
      <x:c r="E3" s="8"/>
      <x:c r="F3" s="8"/>
      <x:c r="G3" s="8"/>
      <x:c r="H3" s="8"/>
    </x:row>
    <x:row r="4"/>
    <x:row r="5" ht="15" hidden="0" customHeight="1">
      <x:c r="A5" s="14" t="str">
        <x:v>scenario_id</x:v>
      </x:c>
      <x:c r="B5" s="14" t="str">
        <x:v>year</x:v>
      </x:c>
      <x:c r="C5" s="14" t="str">
        <x:v>category_full</x:v>
      </x:c>
      <x:c r="D5" s="14" t="str">
        <x:v>category_es</x:v>
      </x:c>
      <x:c r="E5" s="14" t="str">
        <x:v>p10</x:v>
      </x:c>
      <x:c r="F5" s="14" t="str">
        <x:v>p50</x:v>
      </x:c>
      <x:c r="G5" s="14" t="str">
        <x:v>p90</x:v>
      </x:c>
      <x:c r="H5" s="14" t="str">
        <x:v>n_sim</x:v>
      </x:c>
    </x:row>
    <x:row r="6" ht="15" hidden="0" customHeight="1">
      <x:c r="A6" s="58" t="str">
        <x:v>recuperacion_institucional</x:v>
      </x:c>
      <x:c r="B6" s="59" t="n">
        <x:v>2025</x:v>
      </x:c>
      <x:c r="C6" s="58" t="str">
        <x:v>Electoral process and pluralism</x:v>
      </x:c>
      <x:c r="D6" s="58" t="str">
        <x:v>Proceso electoral y pluralismo</x:v>
      </x:c>
      <x:c r="E6" s="59" t="n">
        <x:v>8.772</x:v>
      </x:c>
      <x:c r="F6" s="59" t="n">
        <x:v>8.879</x:v>
      </x:c>
      <x:c r="G6" s="59" t="n">
        <x:v>8.987</x:v>
      </x:c>
      <x:c r="H6" s="59" t="n">
        <x:v>10000</x:v>
      </x:c>
    </x:row>
    <x:row r="7" ht="15" hidden="0" customHeight="1">
      <x:c r="A7" s="57" t="str">
        <x:v>recuperacion_institucional</x:v>
      </x:c>
      <x:c r="B7" s="60" t="n">
        <x:v>2025</x:v>
      </x:c>
      <x:c r="C7" s="57" t="str">
        <x:v>Functioning of government</x:v>
      </x:c>
      <x:c r="D7" s="57" t="str">
        <x:v>Funcionamiento del gobierno</x:v>
      </x:c>
      <x:c r="E7" s="60" t="n">
        <x:v>5.914</x:v>
      </x:c>
      <x:c r="F7" s="60" t="n">
        <x:v>6.03</x:v>
      </x:c>
      <x:c r="G7" s="60" t="n">
        <x:v>6.143</x:v>
      </x:c>
      <x:c r="H7" s="60" t="n">
        <x:v>10000</x:v>
      </x:c>
    </x:row>
    <x:row r="8" ht="15" hidden="0" customHeight="1">
      <x:c r="A8" s="58" t="str">
        <x:v>recuperacion_institucional</x:v>
      </x:c>
      <x:c r="B8" s="59" t="n">
        <x:v>2025</x:v>
      </x:c>
      <x:c r="C8" s="58" t="str">
        <x:v>Political participation</x:v>
      </x:c>
      <x:c r="D8" s="58" t="str">
        <x:v>Participación política</x:v>
      </x:c>
      <x:c r="E8" s="59" t="n">
        <x:v>4.906</x:v>
      </x:c>
      <x:c r="F8" s="59" t="n">
        <x:v>5.07</x:v>
      </x:c>
      <x:c r="G8" s="59" t="n">
        <x:v>5.237</x:v>
      </x:c>
      <x:c r="H8" s="59" t="n">
        <x:v>10000</x:v>
      </x:c>
    </x:row>
    <x:row r="9" ht="15" hidden="0" customHeight="1">
      <x:c r="A9" s="57" t="str">
        <x:v>recuperacion_institucional</x:v>
      </x:c>
      <x:c r="B9" s="60" t="n">
        <x:v>2025</x:v>
      </x:c>
      <x:c r="C9" s="57" t="str">
        <x:v>Political culture</x:v>
      </x:c>
      <x:c r="D9" s="57" t="str">
        <x:v>Cultura política</x:v>
      </x:c>
      <x:c r="E9" s="60" t="n">
        <x:v>2.692</x:v>
      </x:c>
      <x:c r="F9" s="60" t="n">
        <x:v>2.999</x:v>
      </x:c>
      <x:c r="G9" s="60" t="n">
        <x:v>3.308</x:v>
      </x:c>
      <x:c r="H9" s="60" t="n">
        <x:v>10000</x:v>
      </x:c>
    </x:row>
    <x:row r="10" ht="15" hidden="0" customHeight="1">
      <x:c r="A10" s="58" t="str">
        <x:v>recuperacion_institucional</x:v>
      </x:c>
      <x:c r="B10" s="59" t="n">
        <x:v>2025</x:v>
      </x:c>
      <x:c r="C10" s="58" t="str">
        <x:v>Civil liberties</x:v>
      </x:c>
      <x:c r="D10" s="58" t="str">
        <x:v>Libertades civiles</x:v>
      </x:c>
      <x:c r="E10" s="59" t="n">
        <x:v>6.252</x:v>
      </x:c>
      <x:c r="F10" s="59" t="n">
        <x:v>6.422</x:v>
      </x:c>
      <x:c r="G10" s="59" t="n">
        <x:v>6.586</x:v>
      </x:c>
      <x:c r="H10" s="59" t="n">
        <x:v>10000</x:v>
      </x:c>
    </x:row>
    <x:row r="11" ht="15" hidden="0" customHeight="1">
      <x:c r="A11" s="57" t="str">
        <x:v>recuperacion_institucional</x:v>
      </x:c>
      <x:c r="B11" s="60" t="n">
        <x:v>2026</x:v>
      </x:c>
      <x:c r="C11" s="57" t="str">
        <x:v>Electoral process and pluralism</x:v>
      </x:c>
      <x:c r="D11" s="57" t="str">
        <x:v>Proceso electoral y pluralismo</x:v>
      </x:c>
      <x:c r="E11" s="60" t="n">
        <x:v>8.879</x:v>
      </x:c>
      <x:c r="F11" s="60" t="n">
        <x:v>9</x:v>
      </x:c>
      <x:c r="G11" s="60" t="n">
        <x:v>9.121</x:v>
      </x:c>
      <x:c r="H11" s="60" t="n">
        <x:v>10000</x:v>
      </x:c>
    </x:row>
    <x:row r="12" ht="15" hidden="0" customHeight="1">
      <x:c r="A12" s="58" t="str">
        <x:v>recuperacion_institucional</x:v>
      </x:c>
      <x:c r="B12" s="59" t="n">
        <x:v>2026</x:v>
      </x:c>
      <x:c r="C12" s="58" t="str">
        <x:v>Functioning of government</x:v>
      </x:c>
      <x:c r="D12" s="58" t="str">
        <x:v>Funcionamiento del gobierno</x:v>
      </x:c>
      <x:c r="E12" s="59" t="n">
        <x:v>6.017</x:v>
      </x:c>
      <x:c r="F12" s="59" t="n">
        <x:v>6.147</x:v>
      </x:c>
      <x:c r="G12" s="59" t="n">
        <x:v>6.282</x:v>
      </x:c>
      <x:c r="H12" s="59" t="n">
        <x:v>10000</x:v>
      </x:c>
    </x:row>
    <x:row r="13" ht="15" hidden="0" customHeight="1">
      <x:c r="A13" s="57" t="str">
        <x:v>recuperacion_institucional</x:v>
      </x:c>
      <x:c r="B13" s="60" t="n">
        <x:v>2026</x:v>
      </x:c>
      <x:c r="C13" s="57" t="str">
        <x:v>Political participation</x:v>
      </x:c>
      <x:c r="D13" s="57" t="str">
        <x:v>Participación política</x:v>
      </x:c>
      <x:c r="E13" s="60" t="n">
        <x:v>4.964</x:v>
      </x:c>
      <x:c r="F13" s="60" t="n">
        <x:v>5.151</x:v>
      </x:c>
      <x:c r="G13" s="60" t="n">
        <x:v>5.338</x:v>
      </x:c>
      <x:c r="H13" s="60" t="n">
        <x:v>10000</x:v>
      </x:c>
    </x:row>
    <x:row r="14" ht="15" hidden="0" customHeight="1">
      <x:c r="A14" s="58" t="str">
        <x:v>recuperacion_institucional</x:v>
      </x:c>
      <x:c r="B14" s="59" t="n">
        <x:v>2026</x:v>
      </x:c>
      <x:c r="C14" s="58" t="str">
        <x:v>Political culture</x:v>
      </x:c>
      <x:c r="D14" s="58" t="str">
        <x:v>Cultura política</x:v>
      </x:c>
      <x:c r="E14" s="59" t="n">
        <x:v>2.748</x:v>
      </x:c>
      <x:c r="F14" s="59" t="n">
        <x:v>3.145</x:v>
      </x:c>
      <x:c r="G14" s="59" t="n">
        <x:v>3.553</x:v>
      </x:c>
      <x:c r="H14" s="59" t="n">
        <x:v>10000</x:v>
      </x:c>
    </x:row>
    <x:row r="15" ht="15" hidden="0" customHeight="1">
      <x:c r="A15" s="57" t="str">
        <x:v>recuperacion_institucional</x:v>
      </x:c>
      <x:c r="B15" s="60" t="n">
        <x:v>2026</x:v>
      </x:c>
      <x:c r="C15" s="57" t="str">
        <x:v>Civil liberties</x:v>
      </x:c>
      <x:c r="D15" s="57" t="str">
        <x:v>Libertades civiles</x:v>
      </x:c>
      <x:c r="E15" s="60" t="n">
        <x:v>6.279</x:v>
      </x:c>
      <x:c r="F15" s="60" t="n">
        <x:v>6.471</x:v>
      </x:c>
      <x:c r="G15" s="60" t="n">
        <x:v>6.662</x:v>
      </x:c>
      <x:c r="H15" s="60" t="n">
        <x:v>10000</x:v>
      </x:c>
    </x:row>
    <x:row r="16" ht="15" hidden="0" customHeight="1">
      <x:c r="A16" s="58" t="str">
        <x:v>recuperacion_institucional</x:v>
      </x:c>
      <x:c r="B16" s="59" t="n">
        <x:v>2027</x:v>
      </x:c>
      <x:c r="C16" s="58" t="str">
        <x:v>Electoral process and pluralism</x:v>
      </x:c>
      <x:c r="D16" s="58" t="str">
        <x:v>Proceso electoral y pluralismo</x:v>
      </x:c>
      <x:c r="E16" s="59" t="n">
        <x:v>8.908</x:v>
      </x:c>
      <x:c r="F16" s="59" t="n">
        <x:v>9.04</x:v>
      </x:c>
      <x:c r="G16" s="59" t="n">
        <x:v>9.173</x:v>
      </x:c>
      <x:c r="H16" s="59" t="n">
        <x:v>10000</x:v>
      </x:c>
    </x:row>
    <x:row r="17" ht="15" hidden="0" customHeight="1">
      <x:c r="A17" s="57" t="str">
        <x:v>recuperacion_institucional</x:v>
      </x:c>
      <x:c r="B17" s="60" t="n">
        <x:v>2027</x:v>
      </x:c>
      <x:c r="C17" s="57" t="str">
        <x:v>Functioning of government</x:v>
      </x:c>
      <x:c r="D17" s="57" t="str">
        <x:v>Funcionamiento del gobierno</x:v>
      </x:c>
      <x:c r="E17" s="60" t="n">
        <x:v>6.101</x:v>
      </x:c>
      <x:c r="F17" s="60" t="n">
        <x:v>6.247</x:v>
      </x:c>
      <x:c r="G17" s="60" t="n">
        <x:v>6.395</x:v>
      </x:c>
      <x:c r="H17" s="60" t="n">
        <x:v>10000</x:v>
      </x:c>
    </x:row>
    <x:row r="18" ht="15" hidden="0" customHeight="1">
      <x:c r="A18" s="58" t="str">
        <x:v>recuperacion_institucional</x:v>
      </x:c>
      <x:c r="B18" s="59" t="n">
        <x:v>2027</x:v>
      </x:c>
      <x:c r="C18" s="58" t="str">
        <x:v>Political participation</x:v>
      </x:c>
      <x:c r="D18" s="58" t="str">
        <x:v>Participación política</x:v>
      </x:c>
      <x:c r="E18" s="59" t="n">
        <x:v>5</x:v>
      </x:c>
      <x:c r="F18" s="59" t="n">
        <x:v>5.213</x:v>
      </x:c>
      <x:c r="G18" s="59" t="n">
        <x:v>5.419</x:v>
      </x:c>
      <x:c r="H18" s="59" t="n">
        <x:v>10000</x:v>
      </x:c>
    </x:row>
    <x:row r="19" ht="15" hidden="0" customHeight="1">
      <x:c r="A19" s="57" t="str">
        <x:v>recuperacion_institucional</x:v>
      </x:c>
      <x:c r="B19" s="60" t="n">
        <x:v>2027</x:v>
      </x:c>
      <x:c r="C19" s="57" t="str">
        <x:v>Political culture</x:v>
      </x:c>
      <x:c r="D19" s="57" t="str">
        <x:v>Cultura política</x:v>
      </x:c>
      <x:c r="E19" s="60" t="n">
        <x:v>2.778</x:v>
      </x:c>
      <x:c r="F19" s="60" t="n">
        <x:v>3.248</x:v>
      </x:c>
      <x:c r="G19" s="60" t="n">
        <x:v>3.726</x:v>
      </x:c>
      <x:c r="H19" s="60" t="n">
        <x:v>10000</x:v>
      </x:c>
    </x:row>
    <x:row r="20" ht="15" hidden="0" customHeight="1">
      <x:c r="A20" s="58" t="str">
        <x:v>recuperacion_institucional</x:v>
      </x:c>
      <x:c r="B20" s="59" t="n">
        <x:v>2027</x:v>
      </x:c>
      <x:c r="C20" s="58" t="str">
        <x:v>Civil liberties</x:v>
      </x:c>
      <x:c r="D20" s="58" t="str">
        <x:v>Libertades civiles</x:v>
      </x:c>
      <x:c r="E20" s="59" t="n">
        <x:v>6.308</x:v>
      </x:c>
      <x:c r="F20" s="59" t="n">
        <x:v>6.521</x:v>
      </x:c>
      <x:c r="G20" s="59" t="n">
        <x:v>6.736</x:v>
      </x:c>
      <x:c r="H20" s="59" t="n">
        <x:v>10000</x:v>
      </x:c>
    </x:row>
    <x:row r="21" ht="15" hidden="0" customHeight="1">
      <x:c r="A21" s="57" t="str">
        <x:v>recuperacion_institucional</x:v>
      </x:c>
      <x:c r="B21" s="60" t="n">
        <x:v>2028</x:v>
      </x:c>
      <x:c r="C21" s="57" t="str">
        <x:v>Electoral process and pluralism</x:v>
      </x:c>
      <x:c r="D21" s="57" t="str">
        <x:v>Proceso electoral y pluralismo</x:v>
      </x:c>
      <x:c r="E21" s="60" t="n">
        <x:v>8.932</x:v>
      </x:c>
      <x:c r="F21" s="60" t="n">
        <x:v>9.076</x:v>
      </x:c>
      <x:c r="G21" s="60" t="n">
        <x:v>9.22</x:v>
      </x:c>
      <x:c r="H21" s="60" t="n">
        <x:v>10000</x:v>
      </x:c>
    </x:row>
    <x:row r="22" ht="15" hidden="0" customHeight="1">
      <x:c r="A22" s="58" t="str">
        <x:v>recuperacion_institucional</x:v>
      </x:c>
      <x:c r="B22" s="59" t="n">
        <x:v>2028</x:v>
      </x:c>
      <x:c r="C22" s="58" t="str">
        <x:v>Functioning of government</x:v>
      </x:c>
      <x:c r="D22" s="58" t="str">
        <x:v>Funcionamiento del gobierno</x:v>
      </x:c>
      <x:c r="E22" s="59" t="n">
        <x:v>6.174</x:v>
      </x:c>
      <x:c r="F22" s="59" t="n">
        <x:v>6.338</x:v>
      </x:c>
      <x:c r="G22" s="59" t="n">
        <x:v>6.501</x:v>
      </x:c>
      <x:c r="H22" s="59" t="n">
        <x:v>10000</x:v>
      </x:c>
    </x:row>
    <x:row r="23" ht="15" hidden="0" customHeight="1">
      <x:c r="A23" s="57" t="str">
        <x:v>recuperacion_institucional</x:v>
      </x:c>
      <x:c r="B23" s="60" t="n">
        <x:v>2028</x:v>
      </x:c>
      <x:c r="C23" s="57" t="str">
        <x:v>Political participation</x:v>
      </x:c>
      <x:c r="D23" s="57" t="str">
        <x:v>Participación política</x:v>
      </x:c>
      <x:c r="E23" s="60" t="n">
        <x:v>5.031</x:v>
      </x:c>
      <x:c r="F23" s="60" t="n">
        <x:v>5.266</x:v>
      </x:c>
      <x:c r="G23" s="60" t="n">
        <x:v>5.496</x:v>
      </x:c>
      <x:c r="H23" s="60" t="n">
        <x:v>10000</x:v>
      </x:c>
    </x:row>
    <x:row r="24" ht="15" hidden="0" customHeight="1">
      <x:c r="A24" s="58" t="str">
        <x:v>recuperacion_institucional</x:v>
      </x:c>
      <x:c r="B24" s="59" t="n">
        <x:v>2028</x:v>
      </x:c>
      <x:c r="C24" s="58" t="str">
        <x:v>Political culture</x:v>
      </x:c>
      <x:c r="D24" s="58" t="str">
        <x:v>Cultura política</x:v>
      </x:c>
      <x:c r="E24" s="59" t="n">
        <x:v>2.799</x:v>
      </x:c>
      <x:c r="F24" s="59" t="n">
        <x:v>3.334</x:v>
      </x:c>
      <x:c r="G24" s="59" t="n">
        <x:v>3.882</x:v>
      </x:c>
      <x:c r="H24" s="59" t="n">
        <x:v>10000</x:v>
      </x:c>
    </x:row>
    <x:row r="25" ht="15" hidden="0" customHeight="1">
      <x:c r="A25" s="57" t="str">
        <x:v>recuperacion_institucional</x:v>
      </x:c>
      <x:c r="B25" s="60" t="n">
        <x:v>2028</x:v>
      </x:c>
      <x:c r="C25" s="57" t="str">
        <x:v>Civil liberties</x:v>
      </x:c>
      <x:c r="D25" s="57" t="str">
        <x:v>Libertades civiles</x:v>
      </x:c>
      <x:c r="E25" s="60" t="n">
        <x:v>6.334</x:v>
      </x:c>
      <x:c r="F25" s="60" t="n">
        <x:v>6.563</x:v>
      </x:c>
      <x:c r="G25" s="60" t="n">
        <x:v>6.799</x:v>
      </x:c>
      <x:c r="H25" s="60" t="n">
        <x:v>10000</x:v>
      </x:c>
    </x:row>
    <x:row r="26" ht="15" hidden="0" customHeight="1">
      <x:c r="A26" s="58" t="str">
        <x:v>recuperacion_institucional</x:v>
      </x:c>
      <x:c r="B26" s="59" t="n">
        <x:v>2029</x:v>
      </x:c>
      <x:c r="C26" s="58" t="str">
        <x:v>Electoral process and pluralism</x:v>
      </x:c>
      <x:c r="D26" s="58" t="str">
        <x:v>Proceso electoral y pluralismo</x:v>
      </x:c>
      <x:c r="E26" s="59" t="n">
        <x:v>8.952</x:v>
      </x:c>
      <x:c r="F26" s="59" t="n">
        <x:v>9.109</x:v>
      </x:c>
      <x:c r="G26" s="59" t="n">
        <x:v>9.263</x:v>
      </x:c>
      <x:c r="H26" s="59" t="n">
        <x:v>10000</x:v>
      </x:c>
    </x:row>
    <x:row r="27" ht="15" hidden="0" customHeight="1">
      <x:c r="A27" s="57" t="str">
        <x:v>recuperacion_institucional</x:v>
      </x:c>
      <x:c r="B27" s="60" t="n">
        <x:v>2029</x:v>
      </x:c>
      <x:c r="C27" s="57" t="str">
        <x:v>Functioning of government</x:v>
      </x:c>
      <x:c r="D27" s="57" t="str">
        <x:v>Funcionamiento del gobierno</x:v>
      </x:c>
      <x:c r="E27" s="60" t="n">
        <x:v>6.234</x:v>
      </x:c>
      <x:c r="F27" s="60" t="n">
        <x:v>6.419</x:v>
      </x:c>
      <x:c r="G27" s="60" t="n">
        <x:v>6.604</x:v>
      </x:c>
      <x:c r="H27" s="60" t="n">
        <x:v>10000</x:v>
      </x:c>
    </x:row>
    <x:row r="28" ht="15" hidden="0" customHeight="1">
      <x:c r="A28" s="58" t="str">
        <x:v>recuperacion_institucional</x:v>
      </x:c>
      <x:c r="B28" s="59" t="n">
        <x:v>2029</x:v>
      </x:c>
      <x:c r="C28" s="58" t="str">
        <x:v>Political participation</x:v>
      </x:c>
      <x:c r="D28" s="58" t="str">
        <x:v>Participación política</x:v>
      </x:c>
      <x:c r="E28" s="59" t="n">
        <x:v>5.061</x:v>
      </x:c>
      <x:c r="F28" s="59" t="n">
        <x:v>5.315</x:v>
      </x:c>
      <x:c r="G28" s="59" t="n">
        <x:v>5.568</x:v>
      </x:c>
      <x:c r="H28" s="59" t="n">
        <x:v>10000</x:v>
      </x:c>
    </x:row>
    <x:row r="29" ht="15" hidden="0" customHeight="1">
      <x:c r="A29" s="57" t="str">
        <x:v>recuperacion_institucional</x:v>
      </x:c>
      <x:c r="B29" s="60" t="n">
        <x:v>2029</x:v>
      </x:c>
      <x:c r="C29" s="57" t="str">
        <x:v>Political culture</x:v>
      </x:c>
      <x:c r="D29" s="57" t="str">
        <x:v>Cultura política</x:v>
      </x:c>
      <x:c r="E29" s="60" t="n">
        <x:v>2.816</x:v>
      </x:c>
      <x:c r="F29" s="60" t="n">
        <x:v>3.426</x:v>
      </x:c>
      <x:c r="G29" s="60" t="n">
        <x:v>4.029</x:v>
      </x:c>
      <x:c r="H29" s="60" t="n">
        <x:v>10000</x:v>
      </x:c>
    </x:row>
    <x:row r="30" ht="15" hidden="0" customHeight="1">
      <x:c r="A30" s="58" t="str">
        <x:v>recuperacion_institucional</x:v>
      </x:c>
      <x:c r="B30" s="59" t="n">
        <x:v>2029</x:v>
      </x:c>
      <x:c r="C30" s="58" t="str">
        <x:v>Civil liberties</x:v>
      </x:c>
      <x:c r="D30" s="58" t="str">
        <x:v>Libertades civiles</x:v>
      </x:c>
      <x:c r="E30" s="59" t="n">
        <x:v>6.35</x:v>
      </x:c>
      <x:c r="F30" s="59" t="n">
        <x:v>6.604</x:v>
      </x:c>
      <x:c r="G30" s="59" t="n">
        <x:v>6.857</x:v>
      </x:c>
      <x:c r="H30" s="59" t="n">
        <x:v>10000</x:v>
      </x:c>
    </x:row>
    <x:row r="31" ht="15" hidden="0" customHeight="1">
      <x:c r="A31" s="57" t="str">
        <x:v>recuperacion_institucional</x:v>
      </x:c>
      <x:c r="B31" s="60" t="n">
        <x:v>2030</x:v>
      </x:c>
      <x:c r="C31" s="57" t="str">
        <x:v>Electoral process and pluralism</x:v>
      </x:c>
      <x:c r="D31" s="57" t="str">
        <x:v>Proceso electoral y pluralismo</x:v>
      </x:c>
      <x:c r="E31" s="60" t="n">
        <x:v>8.966</x:v>
      </x:c>
      <x:c r="F31" s="60" t="n">
        <x:v>9.137</x:v>
      </x:c>
      <x:c r="G31" s="60" t="n">
        <x:v>9.305</x:v>
      </x:c>
      <x:c r="H31" s="60" t="n">
        <x:v>10000</x:v>
      </x:c>
    </x:row>
    <x:row r="32" ht="15" hidden="0" customHeight="1">
      <x:c r="A32" s="58" t="str">
        <x:v>recuperacion_institucional</x:v>
      </x:c>
      <x:c r="B32" s="59" t="n">
        <x:v>2030</x:v>
      </x:c>
      <x:c r="C32" s="58" t="str">
        <x:v>Functioning of government</x:v>
      </x:c>
      <x:c r="D32" s="58" t="str">
        <x:v>Funcionamiento del gobierno</x:v>
      </x:c>
      <x:c r="E32" s="59" t="n">
        <x:v>6.282</x:v>
      </x:c>
      <x:c r="F32" s="59" t="n">
        <x:v>6.489</x:v>
      </x:c>
      <x:c r="G32" s="59" t="n">
        <x:v>6.693</x:v>
      </x:c>
      <x:c r="H32" s="59" t="n">
        <x:v>10000</x:v>
      </x:c>
    </x:row>
    <x:row r="33" ht="15" hidden="0" customHeight="1">
      <x:c r="A33" s="57" t="str">
        <x:v>recuperacion_institucional</x:v>
      </x:c>
      <x:c r="B33" s="60" t="n">
        <x:v>2030</x:v>
      </x:c>
      <x:c r="C33" s="57" t="str">
        <x:v>Political participation</x:v>
      </x:c>
      <x:c r="D33" s="57" t="str">
        <x:v>Participación política</x:v>
      </x:c>
      <x:c r="E33" s="60" t="n">
        <x:v>5.083</x:v>
      </x:c>
      <x:c r="F33" s="60" t="n">
        <x:v>5.356</x:v>
      </x:c>
      <x:c r="G33" s="60" t="n">
        <x:v>5.627</x:v>
      </x:c>
      <x:c r="H33" s="60" t="n">
        <x:v>10000</x:v>
      </x:c>
    </x:row>
    <x:row r="34" ht="15" hidden="0" customHeight="1">
      <x:c r="A34" s="58" t="str">
        <x:v>recuperacion_institucional</x:v>
      </x:c>
      <x:c r="B34" s="59" t="n">
        <x:v>2030</x:v>
      </x:c>
      <x:c r="C34" s="58" t="str">
        <x:v>Political culture</x:v>
      </x:c>
      <x:c r="D34" s="58" t="str">
        <x:v>Cultura política</x:v>
      </x:c>
      <x:c r="E34" s="59" t="n">
        <x:v>2.832</x:v>
      </x:c>
      <x:c r="F34" s="59" t="n">
        <x:v>3.499</x:v>
      </x:c>
      <x:c r="G34" s="59" t="n">
        <x:v>4.146</x:v>
      </x:c>
      <x:c r="H34" s="59" t="n">
        <x:v>10000</x:v>
      </x:c>
    </x:row>
    <x:row r="35" ht="15" hidden="0" customHeight="1">
      <x:c r="A35" s="57" t="str">
        <x:v>recuperacion_institucional</x:v>
      </x:c>
      <x:c r="B35" s="60" t="n">
        <x:v>2030</x:v>
      </x:c>
      <x:c r="C35" s="57" t="str">
        <x:v>Civil liberties</x:v>
      </x:c>
      <x:c r="D35" s="57" t="str">
        <x:v>Libertades civiles</x:v>
      </x:c>
      <x:c r="E35" s="60" t="n">
        <x:v>6.369</x:v>
      </x:c>
      <x:c r="F35" s="60" t="n">
        <x:v>6.638</x:v>
      </x:c>
      <x:c r="G35" s="60" t="n">
        <x:v>6.91</x:v>
      </x:c>
      <x:c r="H35" s="60" t="n">
        <x:v>10000</x:v>
      </x:c>
    </x:row>
    <x:row r="36" ht="15" hidden="0" customHeight="1">
      <x:c r="A36" s="58" t="str">
        <x:v>continuidad_hibrida</x:v>
      </x:c>
      <x:c r="B36" s="59" t="n">
        <x:v>2025</x:v>
      </x:c>
      <x:c r="C36" s="58" t="str">
        <x:v>Electoral process and pluralism</x:v>
      </x:c>
      <x:c r="D36" s="58" t="str">
        <x:v>Proceso electoral y pluralismo</x:v>
      </x:c>
      <x:c r="E36" s="59" t="n">
        <x:v>8.772</x:v>
      </x:c>
      <x:c r="F36" s="59" t="n">
        <x:v>8.879</x:v>
      </x:c>
      <x:c r="G36" s="59" t="n">
        <x:v>8.987</x:v>
      </x:c>
      <x:c r="H36" s="59" t="n">
        <x:v>10000</x:v>
      </x:c>
    </x:row>
    <x:row r="37" ht="15" hidden="0" customHeight="1">
      <x:c r="A37" s="57" t="str">
        <x:v>continuidad_hibrida</x:v>
      </x:c>
      <x:c r="B37" s="60" t="n">
        <x:v>2025</x:v>
      </x:c>
      <x:c r="C37" s="57" t="str">
        <x:v>Functioning of government</x:v>
      </x:c>
      <x:c r="D37" s="57" t="str">
        <x:v>Funcionamiento del gobierno</x:v>
      </x:c>
      <x:c r="E37" s="60" t="n">
        <x:v>5.914</x:v>
      </x:c>
      <x:c r="F37" s="60" t="n">
        <x:v>6.03</x:v>
      </x:c>
      <x:c r="G37" s="60" t="n">
        <x:v>6.143</x:v>
      </x:c>
      <x:c r="H37" s="60" t="n">
        <x:v>10000</x:v>
      </x:c>
    </x:row>
    <x:row r="38" ht="15" hidden="0" customHeight="1">
      <x:c r="A38" s="58" t="str">
        <x:v>continuidad_hibrida</x:v>
      </x:c>
      <x:c r="B38" s="59" t="n">
        <x:v>2025</x:v>
      </x:c>
      <x:c r="C38" s="58" t="str">
        <x:v>Political participation</x:v>
      </x:c>
      <x:c r="D38" s="58" t="str">
        <x:v>Participación política</x:v>
      </x:c>
      <x:c r="E38" s="59" t="n">
        <x:v>4.906</x:v>
      </x:c>
      <x:c r="F38" s="59" t="n">
        <x:v>5.07</x:v>
      </x:c>
      <x:c r="G38" s="59" t="n">
        <x:v>5.237</x:v>
      </x:c>
      <x:c r="H38" s="59" t="n">
        <x:v>10000</x:v>
      </x:c>
    </x:row>
    <x:row r="39" ht="15" hidden="0" customHeight="1">
      <x:c r="A39" s="57" t="str">
        <x:v>continuidad_hibrida</x:v>
      </x:c>
      <x:c r="B39" s="60" t="n">
        <x:v>2025</x:v>
      </x:c>
      <x:c r="C39" s="57" t="str">
        <x:v>Political culture</x:v>
      </x:c>
      <x:c r="D39" s="57" t="str">
        <x:v>Cultura política</x:v>
      </x:c>
      <x:c r="E39" s="60" t="n">
        <x:v>2.692</x:v>
      </x:c>
      <x:c r="F39" s="60" t="n">
        <x:v>2.999</x:v>
      </x:c>
      <x:c r="G39" s="60" t="n">
        <x:v>3.308</x:v>
      </x:c>
      <x:c r="H39" s="60" t="n">
        <x:v>10000</x:v>
      </x:c>
    </x:row>
    <x:row r="40" ht="15" hidden="0" customHeight="1">
      <x:c r="A40" s="58" t="str">
        <x:v>continuidad_hibrida</x:v>
      </x:c>
      <x:c r="B40" s="59" t="n">
        <x:v>2025</x:v>
      </x:c>
      <x:c r="C40" s="58" t="str">
        <x:v>Civil liberties</x:v>
      </x:c>
      <x:c r="D40" s="58" t="str">
        <x:v>Libertades civiles</x:v>
      </x:c>
      <x:c r="E40" s="59" t="n">
        <x:v>6.252</x:v>
      </x:c>
      <x:c r="F40" s="59" t="n">
        <x:v>6.422</x:v>
      </x:c>
      <x:c r="G40" s="59" t="n">
        <x:v>6.586</x:v>
      </x:c>
      <x:c r="H40" s="59" t="n">
        <x:v>10000</x:v>
      </x:c>
    </x:row>
    <x:row r="41" ht="15" hidden="0" customHeight="1">
      <x:c r="A41" s="57" t="str">
        <x:v>continuidad_hibrida</x:v>
      </x:c>
      <x:c r="B41" s="60" t="n">
        <x:v>2026</x:v>
      </x:c>
      <x:c r="C41" s="57" t="str">
        <x:v>Electoral process and pluralism</x:v>
      </x:c>
      <x:c r="D41" s="57" t="str">
        <x:v>Proceso electoral y pluralismo</x:v>
      </x:c>
      <x:c r="E41" s="60" t="n">
        <x:v>8.831</x:v>
      </x:c>
      <x:c r="F41" s="60" t="n">
        <x:v>8.953</x:v>
      </x:c>
      <x:c r="G41" s="60" t="n">
        <x:v>9.075</x:v>
      </x:c>
      <x:c r="H41" s="60" t="n">
        <x:v>10000</x:v>
      </x:c>
    </x:row>
    <x:row r="42" ht="15" hidden="0" customHeight="1">
      <x:c r="A42" s="58" t="str">
        <x:v>continuidad_hibrida</x:v>
      </x:c>
      <x:c r="B42" s="59" t="n">
        <x:v>2026</x:v>
      </x:c>
      <x:c r="C42" s="58" t="str">
        <x:v>Functioning of government</x:v>
      </x:c>
      <x:c r="D42" s="58" t="str">
        <x:v>Funcionamiento del gobierno</x:v>
      </x:c>
      <x:c r="E42" s="59" t="n">
        <x:v>5.834</x:v>
      </x:c>
      <x:c r="F42" s="59" t="n">
        <x:v>5.967</x:v>
      </x:c>
      <x:c r="G42" s="59" t="n">
        <x:v>6.103</x:v>
      </x:c>
      <x:c r="H42" s="59" t="n">
        <x:v>10000</x:v>
      </x:c>
    </x:row>
    <x:row r="43" ht="15" hidden="0" customHeight="1">
      <x:c r="A43" s="57" t="str">
        <x:v>continuidad_hibrida</x:v>
      </x:c>
      <x:c r="B43" s="60" t="n">
        <x:v>2026</x:v>
      </x:c>
      <x:c r="C43" s="57" t="str">
        <x:v>Political participation</x:v>
      </x:c>
      <x:c r="D43" s="57" t="str">
        <x:v>Participación política</x:v>
      </x:c>
      <x:c r="E43" s="60" t="n">
        <x:v>4.94</x:v>
      </x:c>
      <x:c r="F43" s="60" t="n">
        <x:v>5.128</x:v>
      </x:c>
      <x:c r="G43" s="60" t="n">
        <x:v>5.315</x:v>
      </x:c>
      <x:c r="H43" s="60" t="n">
        <x:v>10000</x:v>
      </x:c>
    </x:row>
    <x:row r="44" ht="15" hidden="0" customHeight="1">
      <x:c r="A44" s="58" t="str">
        <x:v>continuidad_hibrida</x:v>
      </x:c>
      <x:c r="B44" s="59" t="n">
        <x:v>2026</x:v>
      </x:c>
      <x:c r="C44" s="58" t="str">
        <x:v>Political culture</x:v>
      </x:c>
      <x:c r="D44" s="58" t="str">
        <x:v>Cultura política</x:v>
      </x:c>
      <x:c r="E44" s="59" t="n">
        <x:v>2.498</x:v>
      </x:c>
      <x:c r="F44" s="59" t="n">
        <x:v>2.895</x:v>
      </x:c>
      <x:c r="G44" s="59" t="n">
        <x:v>3.303</x:v>
      </x:c>
      <x:c r="H44" s="59" t="n">
        <x:v>10000</x:v>
      </x:c>
    </x:row>
    <x:row r="45" ht="15" hidden="0" customHeight="1">
      <x:c r="A45" s="57" t="str">
        <x:v>continuidad_hibrida</x:v>
      </x:c>
      <x:c r="B45" s="60" t="n">
        <x:v>2026</x:v>
      </x:c>
      <x:c r="C45" s="57" t="str">
        <x:v>Civil liberties</x:v>
      </x:c>
      <x:c r="D45" s="57" t="str">
        <x:v>Libertades civiles</x:v>
      </x:c>
      <x:c r="E45" s="60" t="n">
        <x:v>6.148</x:v>
      </x:c>
      <x:c r="F45" s="60" t="n">
        <x:v>6.341</x:v>
      </x:c>
      <x:c r="G45" s="60" t="n">
        <x:v>6.532</x:v>
      </x:c>
      <x:c r="H45" s="60" t="n">
        <x:v>10000</x:v>
      </x:c>
    </x:row>
    <x:row r="46" ht="15" hidden="0" customHeight="1">
      <x:c r="A46" s="58" t="str">
        <x:v>continuidad_hibrida</x:v>
      </x:c>
      <x:c r="B46" s="59" t="n">
        <x:v>2027</x:v>
      </x:c>
      <x:c r="C46" s="58" t="str">
        <x:v>Electoral process and pluralism</x:v>
      </x:c>
      <x:c r="D46" s="58" t="str">
        <x:v>Proceso electoral y pluralismo</x:v>
      </x:c>
      <x:c r="E46" s="59" t="n">
        <x:v>8.821</x:v>
      </x:c>
      <x:c r="F46" s="59" t="n">
        <x:v>8.952</x:v>
      </x:c>
      <x:c r="G46" s="59" t="n">
        <x:v>9.087</x:v>
      </x:c>
      <x:c r="H46" s="59" t="n">
        <x:v>10000</x:v>
      </x:c>
    </x:row>
    <x:row r="47" ht="15" hidden="0" customHeight="1">
      <x:c r="A47" s="57" t="str">
        <x:v>continuidad_hibrida</x:v>
      </x:c>
      <x:c r="B47" s="60" t="n">
        <x:v>2027</x:v>
      </x:c>
      <x:c r="C47" s="57" t="str">
        <x:v>Functioning of government</x:v>
      </x:c>
      <x:c r="D47" s="57" t="str">
        <x:v>Funcionamiento del gobierno</x:v>
      </x:c>
      <x:c r="E47" s="60" t="n">
        <x:v>5.831</x:v>
      </x:c>
      <x:c r="F47" s="60" t="n">
        <x:v>5.978</x:v>
      </x:c>
      <x:c r="G47" s="60" t="n">
        <x:v>6.125</x:v>
      </x:c>
      <x:c r="H47" s="60" t="n">
        <x:v>10000</x:v>
      </x:c>
    </x:row>
    <x:row r="48" ht="15" hidden="0" customHeight="1">
      <x:c r="A48" s="58" t="str">
        <x:v>continuidad_hibrida</x:v>
      </x:c>
      <x:c r="B48" s="59" t="n">
        <x:v>2027</x:v>
      </x:c>
      <x:c r="C48" s="58" t="str">
        <x:v>Political participation</x:v>
      </x:c>
      <x:c r="D48" s="58" t="str">
        <x:v>Participación política</x:v>
      </x:c>
      <x:c r="E48" s="59" t="n">
        <x:v>4.937</x:v>
      </x:c>
      <x:c r="F48" s="59" t="n">
        <x:v>5.149</x:v>
      </x:c>
      <x:c r="G48" s="59" t="n">
        <x:v>5.357</x:v>
      </x:c>
      <x:c r="H48" s="59" t="n">
        <x:v>10000</x:v>
      </x:c>
    </x:row>
    <x:row r="49" ht="15" hidden="0" customHeight="1">
      <x:c r="A49" s="57" t="str">
        <x:v>continuidad_hibrida</x:v>
      </x:c>
      <x:c r="B49" s="60" t="n">
        <x:v>2027</x:v>
      </x:c>
      <x:c r="C49" s="57" t="str">
        <x:v>Political culture</x:v>
      </x:c>
      <x:c r="D49" s="57" t="str">
        <x:v>Cultura política</x:v>
      </x:c>
      <x:c r="E49" s="60" t="n">
        <x:v>2.428</x:v>
      </x:c>
      <x:c r="F49" s="60" t="n">
        <x:v>2.899</x:v>
      </x:c>
      <x:c r="G49" s="60" t="n">
        <x:v>3.376</x:v>
      </x:c>
      <x:c r="H49" s="60" t="n">
        <x:v>10000</x:v>
      </x:c>
    </x:row>
    <x:row r="50" ht="15" hidden="0" customHeight="1">
      <x:c r="A50" s="58" t="str">
        <x:v>continuidad_hibrida</x:v>
      </x:c>
      <x:c r="B50" s="59" t="n">
        <x:v>2027</x:v>
      </x:c>
      <x:c r="C50" s="58" t="str">
        <x:v>Civil liberties</x:v>
      </x:c>
      <x:c r="D50" s="58" t="str">
        <x:v>Libertades civiles</x:v>
      </x:c>
      <x:c r="E50" s="59" t="n">
        <x:v>6.116</x:v>
      </x:c>
      <x:c r="F50" s="59" t="n">
        <x:v>6.33</x:v>
      </x:c>
      <x:c r="G50" s="59" t="n">
        <x:v>6.547</x:v>
      </x:c>
      <x:c r="H50" s="59" t="n">
        <x:v>10000</x:v>
      </x:c>
    </x:row>
    <x:row r="51" ht="15" hidden="0" customHeight="1">
      <x:c r="A51" s="57" t="str">
        <x:v>continuidad_hibrida</x:v>
      </x:c>
      <x:c r="B51" s="60" t="n">
        <x:v>2028</x:v>
      </x:c>
      <x:c r="C51" s="57" t="str">
        <x:v>Electoral process and pluralism</x:v>
      </x:c>
      <x:c r="D51" s="57" t="str">
        <x:v>Proceso electoral y pluralismo</x:v>
      </x:c>
      <x:c r="E51" s="60" t="n">
        <x:v>8.81</x:v>
      </x:c>
      <x:c r="F51" s="60" t="n">
        <x:v>8.953</x:v>
      </x:c>
      <x:c r="G51" s="60" t="n">
        <x:v>9.096</x:v>
      </x:c>
      <x:c r="H51" s="60" t="n">
        <x:v>10000</x:v>
      </x:c>
    </x:row>
    <x:row r="52" ht="15" hidden="0" customHeight="1">
      <x:c r="A52" s="58" t="str">
        <x:v>continuidad_hibrida</x:v>
      </x:c>
      <x:c r="B52" s="59" t="n">
        <x:v>2028</x:v>
      </x:c>
      <x:c r="C52" s="58" t="str">
        <x:v>Functioning of government</x:v>
      </x:c>
      <x:c r="D52" s="58" t="str">
        <x:v>Funcionamiento del gobierno</x:v>
      </x:c>
      <x:c r="E52" s="59" t="n">
        <x:v>5.826</x:v>
      </x:c>
      <x:c r="F52" s="59" t="n">
        <x:v>5.987</x:v>
      </x:c>
      <x:c r="G52" s="59" t="n">
        <x:v>6.146</x:v>
      </x:c>
      <x:c r="H52" s="59" t="n">
        <x:v>10000</x:v>
      </x:c>
    </x:row>
    <x:row r="53" ht="15" hidden="0" customHeight="1">
      <x:c r="A53" s="57" t="str">
        <x:v>continuidad_hibrida</x:v>
      </x:c>
      <x:c r="B53" s="60" t="n">
        <x:v>2028</x:v>
      </x:c>
      <x:c r="C53" s="57" t="str">
        <x:v>Political participation</x:v>
      </x:c>
      <x:c r="D53" s="57" t="str">
        <x:v>Participación política</x:v>
      </x:c>
      <x:c r="E53" s="60" t="n">
        <x:v>4.93</x:v>
      </x:c>
      <x:c r="F53" s="60" t="n">
        <x:v>5.167</x:v>
      </x:c>
      <x:c r="G53" s="60" t="n">
        <x:v>5.396</x:v>
      </x:c>
      <x:c r="H53" s="60" t="n">
        <x:v>10000</x:v>
      </x:c>
    </x:row>
    <x:row r="54" ht="15" hidden="0" customHeight="1">
      <x:c r="A54" s="58" t="str">
        <x:v>continuidad_hibrida</x:v>
      </x:c>
      <x:c r="B54" s="59" t="n">
        <x:v>2028</x:v>
      </x:c>
      <x:c r="C54" s="58" t="str">
        <x:v>Political culture</x:v>
      </x:c>
      <x:c r="D54" s="58" t="str">
        <x:v>Cultura política</x:v>
      </x:c>
      <x:c r="E54" s="59" t="n">
        <x:v>2.361</x:v>
      </x:c>
      <x:c r="F54" s="59" t="n">
        <x:v>2.894</x:v>
      </x:c>
      <x:c r="G54" s="59" t="n">
        <x:v>3.439</x:v>
      </x:c>
      <x:c r="H54" s="59" t="n">
        <x:v>10000</x:v>
      </x:c>
    </x:row>
    <x:row r="55" ht="15" hidden="0" customHeight="1">
      <x:c r="A55" s="57" t="str">
        <x:v>continuidad_hibrida</x:v>
      </x:c>
      <x:c r="B55" s="60" t="n">
        <x:v>2028</x:v>
      </x:c>
      <x:c r="C55" s="57" t="str">
        <x:v>Civil liberties</x:v>
      </x:c>
      <x:c r="D55" s="57" t="str">
        <x:v>Libertades civiles</x:v>
      </x:c>
      <x:c r="E55" s="60" t="n">
        <x:v>6.089</x:v>
      </x:c>
      <x:c r="F55" s="60" t="n">
        <x:v>6.319</x:v>
      </x:c>
      <x:c r="G55" s="60" t="n">
        <x:v>6.555</x:v>
      </x:c>
      <x:c r="H55" s="60" t="n">
        <x:v>10000</x:v>
      </x:c>
    </x:row>
    <x:row r="56" ht="15" hidden="0" customHeight="1">
      <x:c r="A56" s="58" t="str">
        <x:v>continuidad_hibrida</x:v>
      </x:c>
      <x:c r="B56" s="59" t="n">
        <x:v>2029</x:v>
      </x:c>
      <x:c r="C56" s="58" t="str">
        <x:v>Electoral process and pluralism</x:v>
      </x:c>
      <x:c r="D56" s="58" t="str">
        <x:v>Proceso electoral y pluralismo</x:v>
      </x:c>
      <x:c r="E56" s="59" t="n">
        <x:v>8.798</x:v>
      </x:c>
      <x:c r="F56" s="59" t="n">
        <x:v>8.954</x:v>
      </x:c>
      <x:c r="G56" s="59" t="n">
        <x:v>9.106</x:v>
      </x:c>
      <x:c r="H56" s="59" t="n">
        <x:v>10000</x:v>
      </x:c>
    </x:row>
    <x:row r="57" ht="15" hidden="0" customHeight="1">
      <x:c r="A57" s="57" t="str">
        <x:v>continuidad_hibrida</x:v>
      </x:c>
      <x:c r="B57" s="60" t="n">
        <x:v>2029</x:v>
      </x:c>
      <x:c r="C57" s="57" t="str">
        <x:v>Functioning of government</x:v>
      </x:c>
      <x:c r="D57" s="57" t="str">
        <x:v>Funcionamiento del gobierno</x:v>
      </x:c>
      <x:c r="E57" s="60" t="n">
        <x:v>5.822</x:v>
      </x:c>
      <x:c r="F57" s="60" t="n">
        <x:v>5.996</x:v>
      </x:c>
      <x:c r="G57" s="60" t="n">
        <x:v>6.169</x:v>
      </x:c>
      <x:c r="H57" s="60" t="n">
        <x:v>10000</x:v>
      </x:c>
    </x:row>
    <x:row r="58" ht="15" hidden="0" customHeight="1">
      <x:c r="A58" s="58" t="str">
        <x:v>continuidad_hibrida</x:v>
      </x:c>
      <x:c r="B58" s="59" t="n">
        <x:v>2029</x:v>
      </x:c>
      <x:c r="C58" s="58" t="str">
        <x:v>Political participation</x:v>
      </x:c>
      <x:c r="D58" s="58" t="str">
        <x:v>Participación política</x:v>
      </x:c>
      <x:c r="E58" s="59" t="n">
        <x:v>4.928</x:v>
      </x:c>
      <x:c r="F58" s="59" t="n">
        <x:v>5.183</x:v>
      </x:c>
      <x:c r="G58" s="59" t="n">
        <x:v>5.435</x:v>
      </x:c>
      <x:c r="H58" s="59" t="n">
        <x:v>10000</x:v>
      </x:c>
    </x:row>
    <x:row r="59" ht="15" hidden="0" customHeight="1">
      <x:c r="A59" s="57" t="str">
        <x:v>continuidad_hibrida</x:v>
      </x:c>
      <x:c r="B59" s="60" t="n">
        <x:v>2029</x:v>
      </x:c>
      <x:c r="C59" s="57" t="str">
        <x:v>Political culture</x:v>
      </x:c>
      <x:c r="D59" s="57" t="str">
        <x:v>Cultura política</x:v>
      </x:c>
      <x:c r="E59" s="60" t="n">
        <x:v>2.297</x:v>
      </x:c>
      <x:c r="F59" s="60" t="n">
        <x:v>2.909</x:v>
      </x:c>
      <x:c r="G59" s="60" t="n">
        <x:v>3.503</x:v>
      </x:c>
      <x:c r="H59" s="60" t="n">
        <x:v>10000</x:v>
      </x:c>
    </x:row>
    <x:row r="60" ht="15" hidden="0" customHeight="1">
      <x:c r="A60" s="58" t="str">
        <x:v>continuidad_hibrida</x:v>
      </x:c>
      <x:c r="B60" s="59" t="n">
        <x:v>2029</x:v>
      </x:c>
      <x:c r="C60" s="58" t="str">
        <x:v>Civil liberties</x:v>
      </x:c>
      <x:c r="D60" s="58" t="str">
        <x:v>Libertades civiles</x:v>
      </x:c>
      <x:c r="E60" s="59" t="n">
        <x:v>6.057</x:v>
      </x:c>
      <x:c r="F60" s="59" t="n">
        <x:v>6.314</x:v>
      </x:c>
      <x:c r="G60" s="59" t="n">
        <x:v>6.566</x:v>
      </x:c>
      <x:c r="H60" s="59" t="n">
        <x:v>10000</x:v>
      </x:c>
    </x:row>
    <x:row r="61" ht="15" hidden="0" customHeight="1">
      <x:c r="A61" s="57" t="str">
        <x:v>continuidad_hibrida</x:v>
      </x:c>
      <x:c r="B61" s="60" t="n">
        <x:v>2030</x:v>
      </x:c>
      <x:c r="C61" s="57" t="str">
        <x:v>Electoral process and pluralism</x:v>
      </x:c>
      <x:c r="D61" s="57" t="str">
        <x:v>Proceso electoral y pluralismo</x:v>
      </x:c>
      <x:c r="E61" s="60" t="n">
        <x:v>8.789</x:v>
      </x:c>
      <x:c r="F61" s="60" t="n">
        <x:v>8.955</x:v>
      </x:c>
      <x:c r="G61" s="60" t="n">
        <x:v>9.119</x:v>
      </x:c>
      <x:c r="H61" s="60" t="n">
        <x:v>10000</x:v>
      </x:c>
    </x:row>
    <x:row r="62" ht="15" hidden="0" customHeight="1">
      <x:c r="A62" s="58" t="str">
        <x:v>continuidad_hibrida</x:v>
      </x:c>
      <x:c r="B62" s="59" t="n">
        <x:v>2030</x:v>
      </x:c>
      <x:c r="C62" s="58" t="str">
        <x:v>Functioning of government</x:v>
      </x:c>
      <x:c r="D62" s="58" t="str">
        <x:v>Funcionamiento del gobierno</x:v>
      </x:c>
      <x:c r="E62" s="59" t="n">
        <x:v>5.816</x:v>
      </x:c>
      <x:c r="F62" s="59" t="n">
        <x:v>6.002</x:v>
      </x:c>
      <x:c r="G62" s="59" t="n">
        <x:v>6.191</x:v>
      </x:c>
      <x:c r="H62" s="59" t="n">
        <x:v>10000</x:v>
      </x:c>
    </x:row>
    <x:row r="63" ht="15" hidden="0" customHeight="1">
      <x:c r="A63" s="57" t="str">
        <x:v>continuidad_hibrida</x:v>
      </x:c>
      <x:c r="B63" s="60" t="n">
        <x:v>2030</x:v>
      </x:c>
      <x:c r="C63" s="57" t="str">
        <x:v>Political participation</x:v>
      </x:c>
      <x:c r="D63" s="57" t="str">
        <x:v>Participación política</x:v>
      </x:c>
      <x:c r="E63" s="60" t="n">
        <x:v>4.923</x:v>
      </x:c>
      <x:c r="F63" s="60" t="n">
        <x:v>5.197</x:v>
      </x:c>
      <x:c r="G63" s="60" t="n">
        <x:v>5.467</x:v>
      </x:c>
      <x:c r="H63" s="60" t="n">
        <x:v>10000</x:v>
      </x:c>
    </x:row>
    <x:row r="64" ht="15" hidden="0" customHeight="1">
      <x:c r="A64" s="58" t="str">
        <x:v>continuidad_hibrida</x:v>
      </x:c>
      <x:c r="B64" s="59" t="n">
        <x:v>2030</x:v>
      </x:c>
      <x:c r="C64" s="58" t="str">
        <x:v>Political culture</x:v>
      </x:c>
      <x:c r="D64" s="58" t="str">
        <x:v>Cultura política</x:v>
      </x:c>
      <x:c r="E64" s="59" t="n">
        <x:v>2.244</x:v>
      </x:c>
      <x:c r="F64" s="59" t="n">
        <x:v>2.908</x:v>
      </x:c>
      <x:c r="G64" s="59" t="n">
        <x:v>3.554</x:v>
      </x:c>
      <x:c r="H64" s="59" t="n">
        <x:v>10000</x:v>
      </x:c>
    </x:row>
    <x:row r="65" ht="15" hidden="0" customHeight="1">
      <x:c r="A65" s="57" t="str">
        <x:v>continuidad_hibrida</x:v>
      </x:c>
      <x:c r="B65" s="60" t="n">
        <x:v>2030</x:v>
      </x:c>
      <x:c r="C65" s="57" t="str">
        <x:v>Civil liberties</x:v>
      </x:c>
      <x:c r="D65" s="57" t="str">
        <x:v>Libertades civiles</x:v>
      </x:c>
      <x:c r="E65" s="60" t="n">
        <x:v>6.033</x:v>
      </x:c>
      <x:c r="F65" s="60" t="n">
        <x:v>6.304</x:v>
      </x:c>
      <x:c r="G65" s="60" t="n">
        <x:v>6.578</x:v>
      </x:c>
      <x:c r="H65" s="60" t="n">
        <x:v>10000</x:v>
      </x:c>
    </x:row>
    <x:row r="66" ht="15" hidden="0" customHeight="1">
      <x:c r="A66" s="58" t="str">
        <x:v>deriva_restrictiva</x:v>
      </x:c>
      <x:c r="B66" s="59" t="n">
        <x:v>2025</x:v>
      </x:c>
      <x:c r="C66" s="58" t="str">
        <x:v>Electoral process and pluralism</x:v>
      </x:c>
      <x:c r="D66" s="58" t="str">
        <x:v>Proceso electoral y pluralismo</x:v>
      </x:c>
      <x:c r="E66" s="59" t="n">
        <x:v>8.772</x:v>
      </x:c>
      <x:c r="F66" s="59" t="n">
        <x:v>8.879</x:v>
      </x:c>
      <x:c r="G66" s="59" t="n">
        <x:v>8.987</x:v>
      </x:c>
      <x:c r="H66" s="59" t="n">
        <x:v>10000</x:v>
      </x:c>
    </x:row>
    <x:row r="67" ht="15" hidden="0" customHeight="1">
      <x:c r="A67" s="57" t="str">
        <x:v>deriva_restrictiva</x:v>
      </x:c>
      <x:c r="B67" s="60" t="n">
        <x:v>2025</x:v>
      </x:c>
      <x:c r="C67" s="57" t="str">
        <x:v>Functioning of government</x:v>
      </x:c>
      <x:c r="D67" s="57" t="str">
        <x:v>Funcionamiento del gobierno</x:v>
      </x:c>
      <x:c r="E67" s="60" t="n">
        <x:v>5.914</x:v>
      </x:c>
      <x:c r="F67" s="60" t="n">
        <x:v>6.03</x:v>
      </x:c>
      <x:c r="G67" s="60" t="n">
        <x:v>6.143</x:v>
      </x:c>
      <x:c r="H67" s="60" t="n">
        <x:v>10000</x:v>
      </x:c>
    </x:row>
    <x:row r="68" ht="15" hidden="0" customHeight="1">
      <x:c r="A68" s="58" t="str">
        <x:v>deriva_restrictiva</x:v>
      </x:c>
      <x:c r="B68" s="59" t="n">
        <x:v>2025</x:v>
      </x:c>
      <x:c r="C68" s="58" t="str">
        <x:v>Political participation</x:v>
      </x:c>
      <x:c r="D68" s="58" t="str">
        <x:v>Participación política</x:v>
      </x:c>
      <x:c r="E68" s="59" t="n">
        <x:v>4.906</x:v>
      </x:c>
      <x:c r="F68" s="59" t="n">
        <x:v>5.07</x:v>
      </x:c>
      <x:c r="G68" s="59" t="n">
        <x:v>5.237</x:v>
      </x:c>
      <x:c r="H68" s="59" t="n">
        <x:v>10000</x:v>
      </x:c>
    </x:row>
    <x:row r="69" ht="15" hidden="0" customHeight="1">
      <x:c r="A69" s="57" t="str">
        <x:v>deriva_restrictiva</x:v>
      </x:c>
      <x:c r="B69" s="60" t="n">
        <x:v>2025</x:v>
      </x:c>
      <x:c r="C69" s="57" t="str">
        <x:v>Political culture</x:v>
      </x:c>
      <x:c r="D69" s="57" t="str">
        <x:v>Cultura política</x:v>
      </x:c>
      <x:c r="E69" s="60" t="n">
        <x:v>2.692</x:v>
      </x:c>
      <x:c r="F69" s="60" t="n">
        <x:v>2.999</x:v>
      </x:c>
      <x:c r="G69" s="60" t="n">
        <x:v>3.308</x:v>
      </x:c>
      <x:c r="H69" s="60" t="n">
        <x:v>10000</x:v>
      </x:c>
    </x:row>
    <x:row r="70" ht="15" hidden="0" customHeight="1">
      <x:c r="A70" s="58" t="str">
        <x:v>deriva_restrictiva</x:v>
      </x:c>
      <x:c r="B70" s="59" t="n">
        <x:v>2025</x:v>
      </x:c>
      <x:c r="C70" s="58" t="str">
        <x:v>Civil liberties</x:v>
      </x:c>
      <x:c r="D70" s="58" t="str">
        <x:v>Libertades civiles</x:v>
      </x:c>
      <x:c r="E70" s="59" t="n">
        <x:v>6.252</x:v>
      </x:c>
      <x:c r="F70" s="59" t="n">
        <x:v>6.422</x:v>
      </x:c>
      <x:c r="G70" s="59" t="n">
        <x:v>6.586</x:v>
      </x:c>
      <x:c r="H70" s="59" t="n">
        <x:v>10000</x:v>
      </x:c>
    </x:row>
    <x:row r="71" ht="15" hidden="0" customHeight="1">
      <x:c r="A71" s="57" t="str">
        <x:v>deriva_restrictiva</x:v>
      </x:c>
      <x:c r="B71" s="60" t="n">
        <x:v>2026</x:v>
      </x:c>
      <x:c r="C71" s="57" t="str">
        <x:v>Electoral process and pluralism</x:v>
      </x:c>
      <x:c r="D71" s="57" t="str">
        <x:v>Proceso electoral y pluralismo</x:v>
      </x:c>
      <x:c r="E71" s="60" t="n">
        <x:v>8.672</x:v>
      </x:c>
      <x:c r="F71" s="60" t="n">
        <x:v>8.799</x:v>
      </x:c>
      <x:c r="G71" s="60" t="n">
        <x:v>8.928</x:v>
      </x:c>
      <x:c r="H71" s="60" t="n">
        <x:v>10000</x:v>
      </x:c>
    </x:row>
    <x:row r="72" ht="15" hidden="0" customHeight="1">
      <x:c r="A72" s="58" t="str">
        <x:v>deriva_restrictiva</x:v>
      </x:c>
      <x:c r="B72" s="59" t="n">
        <x:v>2026</x:v>
      </x:c>
      <x:c r="C72" s="58" t="str">
        <x:v>Functioning of government</x:v>
      </x:c>
      <x:c r="D72" s="58" t="str">
        <x:v>Funcionamiento del gobierno</x:v>
      </x:c>
      <x:c r="E72" s="59" t="n">
        <x:v>5.688</x:v>
      </x:c>
      <x:c r="F72" s="59" t="n">
        <x:v>5.828</x:v>
      </x:c>
      <x:c r="G72" s="59" t="n">
        <x:v>5.971</x:v>
      </x:c>
      <x:c r="H72" s="59" t="n">
        <x:v>10000</x:v>
      </x:c>
    </x:row>
    <x:row r="73" ht="15" hidden="0" customHeight="1">
      <x:c r="A73" s="57" t="str">
        <x:v>deriva_restrictiva</x:v>
      </x:c>
      <x:c r="B73" s="60" t="n">
        <x:v>2026</x:v>
      </x:c>
      <x:c r="C73" s="57" t="str">
        <x:v>Political participation</x:v>
      </x:c>
      <x:c r="D73" s="57" t="str">
        <x:v>Participación política</x:v>
      </x:c>
      <x:c r="E73" s="60" t="n">
        <x:v>4.831</x:v>
      </x:c>
      <x:c r="F73" s="60" t="n">
        <x:v>5.021</x:v>
      </x:c>
      <x:c r="G73" s="60" t="n">
        <x:v>5.212</x:v>
      </x:c>
      <x:c r="H73" s="60" t="n">
        <x:v>10000</x:v>
      </x:c>
    </x:row>
    <x:row r="74" ht="15" hidden="0" customHeight="1">
      <x:c r="A74" s="58" t="str">
        <x:v>deriva_restrictiva</x:v>
      </x:c>
      <x:c r="B74" s="59" t="n">
        <x:v>2026</x:v>
      </x:c>
      <x:c r="C74" s="58" t="str">
        <x:v>Political culture</x:v>
      </x:c>
      <x:c r="D74" s="58" t="str">
        <x:v>Cultura política</x:v>
      </x:c>
      <x:c r="E74" s="59" t="n">
        <x:v>2.344</x:v>
      </x:c>
      <x:c r="F74" s="59" t="n">
        <x:v>2.744</x:v>
      </x:c>
      <x:c r="G74" s="59" t="n">
        <x:v>3.158</x:v>
      </x:c>
      <x:c r="H74" s="59" t="n">
        <x:v>10000</x:v>
      </x:c>
    </x:row>
    <x:row r="75" ht="15" hidden="0" customHeight="1">
      <x:c r="A75" s="57" t="str">
        <x:v>deriva_restrictiva</x:v>
      </x:c>
      <x:c r="B75" s="60" t="n">
        <x:v>2026</x:v>
      </x:c>
      <x:c r="C75" s="57" t="str">
        <x:v>Civil liberties</x:v>
      </x:c>
      <x:c r="D75" s="57" t="str">
        <x:v>Libertades civiles</x:v>
      </x:c>
      <x:c r="E75" s="60" t="n">
        <x:v>5.938</x:v>
      </x:c>
      <x:c r="F75" s="60" t="n">
        <x:v>6.141</x:v>
      </x:c>
      <x:c r="G75" s="60" t="n">
        <x:v>6.343</x:v>
      </x:c>
      <x:c r="H75" s="60" t="n">
        <x:v>10000</x:v>
      </x:c>
    </x:row>
    <x:row r="76" ht="15" hidden="0" customHeight="1">
      <x:c r="A76" s="58" t="str">
        <x:v>deriva_restrictiva</x:v>
      </x:c>
      <x:c r="B76" s="59" t="n">
        <x:v>2027</x:v>
      </x:c>
      <x:c r="C76" s="58" t="str">
        <x:v>Electoral process and pluralism</x:v>
      </x:c>
      <x:c r="D76" s="58" t="str">
        <x:v>Proceso electoral y pluralismo</x:v>
      </x:c>
      <x:c r="E76" s="59" t="n">
        <x:v>8.621</x:v>
      </x:c>
      <x:c r="F76" s="59" t="n">
        <x:v>8.759</x:v>
      </x:c>
      <x:c r="G76" s="59" t="n">
        <x:v>8.9</x:v>
      </x:c>
      <x:c r="H76" s="59" t="n">
        <x:v>10000</x:v>
      </x:c>
    </x:row>
    <x:row r="77" ht="15" hidden="0" customHeight="1">
      <x:c r="A77" s="57" t="str">
        <x:v>deriva_restrictiva</x:v>
      </x:c>
      <x:c r="B77" s="60" t="n">
        <x:v>2027</x:v>
      </x:c>
      <x:c r="C77" s="57" t="str">
        <x:v>Functioning of government</x:v>
      </x:c>
      <x:c r="D77" s="57" t="str">
        <x:v>Funcionamiento del gobierno</x:v>
      </x:c>
      <x:c r="E77" s="60" t="n">
        <x:v>5.543</x:v>
      </x:c>
      <x:c r="F77" s="60" t="n">
        <x:v>5.698</x:v>
      </x:c>
      <x:c r="G77" s="60" t="n">
        <x:v>5.854</x:v>
      </x:c>
      <x:c r="H77" s="60" t="n">
        <x:v>10000</x:v>
      </x:c>
    </x:row>
    <x:row r="78" ht="15" hidden="0" customHeight="1">
      <x:c r="A78" s="58" t="str">
        <x:v>deriva_restrictiva</x:v>
      </x:c>
      <x:c r="B78" s="59" t="n">
        <x:v>2027</x:v>
      </x:c>
      <x:c r="C78" s="58" t="str">
        <x:v>Political participation</x:v>
      </x:c>
      <x:c r="D78" s="58" t="str">
        <x:v>Participación política</x:v>
      </x:c>
      <x:c r="E78" s="59" t="n">
        <x:v>4.736</x:v>
      </x:c>
      <x:c r="F78" s="59" t="n">
        <x:v>4.953</x:v>
      </x:c>
      <x:c r="G78" s="59" t="n">
        <x:v>5.165</x:v>
      </x:c>
      <x:c r="H78" s="59" t="n">
        <x:v>10000</x:v>
      </x:c>
    </x:row>
    <x:row r="79" ht="15" hidden="0" customHeight="1">
      <x:c r="A79" s="57" t="str">
        <x:v>deriva_restrictiva</x:v>
      </x:c>
      <x:c r="B79" s="60" t="n">
        <x:v>2027</x:v>
      </x:c>
      <x:c r="C79" s="57" t="str">
        <x:v>Political culture</x:v>
      </x:c>
      <x:c r="D79" s="57" t="str">
        <x:v>Cultura política</x:v>
      </x:c>
      <x:c r="E79" s="60" t="n">
        <x:v>2.146</x:v>
      </x:c>
      <x:c r="F79" s="60" t="n">
        <x:v>2.618</x:v>
      </x:c>
      <x:c r="G79" s="60" t="n">
        <x:v>3.099</x:v>
      </x:c>
      <x:c r="H79" s="60" t="n">
        <x:v>10000</x:v>
      </x:c>
    </x:row>
    <x:row r="80" ht="15" hidden="0" customHeight="1">
      <x:c r="A80" s="58" t="str">
        <x:v>deriva_restrictiva</x:v>
      </x:c>
      <x:c r="B80" s="59" t="n">
        <x:v>2027</x:v>
      </x:c>
      <x:c r="C80" s="58" t="str">
        <x:v>Civil liberties</x:v>
      </x:c>
      <x:c r="D80" s="58" t="str">
        <x:v>Libertades civiles</x:v>
      </x:c>
      <x:c r="E80" s="59" t="n">
        <x:v>5.754</x:v>
      </x:c>
      <x:c r="F80" s="59" t="n">
        <x:v>5.98</x:v>
      </x:c>
      <x:c r="G80" s="59" t="n">
        <x:v>6.208</x:v>
      </x:c>
      <x:c r="H80" s="59" t="n">
        <x:v>10000</x:v>
      </x:c>
    </x:row>
    <x:row r="81" ht="15" hidden="0" customHeight="1">
      <x:c r="A81" s="57" t="str">
        <x:v>deriva_restrictiva</x:v>
      </x:c>
      <x:c r="B81" s="60" t="n">
        <x:v>2028</x:v>
      </x:c>
      <x:c r="C81" s="57" t="str">
        <x:v>Electoral process and pluralism</x:v>
      </x:c>
      <x:c r="D81" s="57" t="str">
        <x:v>Proceso electoral y pluralismo</x:v>
      </x:c>
      <x:c r="E81" s="60" t="n">
        <x:v>8.57</x:v>
      </x:c>
      <x:c r="F81" s="60" t="n">
        <x:v>8.724</x:v>
      </x:c>
      <x:c r="G81" s="60" t="n">
        <x:v>8.874</x:v>
      </x:c>
      <x:c r="H81" s="60" t="n">
        <x:v>10000</x:v>
      </x:c>
    </x:row>
    <x:row r="82" ht="15" hidden="0" customHeight="1">
      <x:c r="A82" s="58" t="str">
        <x:v>deriva_restrictiva</x:v>
      </x:c>
      <x:c r="B82" s="59" t="n">
        <x:v>2028</x:v>
      </x:c>
      <x:c r="C82" s="58" t="str">
        <x:v>Functioning of government</x:v>
      </x:c>
      <x:c r="D82" s="58" t="str">
        <x:v>Funcionamiento del gobierno</x:v>
      </x:c>
      <x:c r="E82" s="59" t="n">
        <x:v>5.405</x:v>
      </x:c>
      <x:c r="F82" s="59" t="n">
        <x:v>5.581</x:v>
      </x:c>
      <x:c r="G82" s="59" t="n">
        <x:v>5.755</x:v>
      </x:c>
      <x:c r="H82" s="59" t="n">
        <x:v>10000</x:v>
      </x:c>
    </x:row>
    <x:row r="83" ht="15" hidden="0" customHeight="1">
      <x:c r="A83" s="57" t="str">
        <x:v>deriva_restrictiva</x:v>
      </x:c>
      <x:c r="B83" s="60" t="n">
        <x:v>2028</x:v>
      </x:c>
      <x:c r="C83" s="57" t="str">
        <x:v>Political participation</x:v>
      </x:c>
      <x:c r="D83" s="57" t="str">
        <x:v>Participación política</x:v>
      </x:c>
      <x:c r="E83" s="60" t="n">
        <x:v>4.648</x:v>
      </x:c>
      <x:c r="F83" s="60" t="n">
        <x:v>4.89</x:v>
      </x:c>
      <x:c r="G83" s="60" t="n">
        <x:v>5.123</x:v>
      </x:c>
      <x:c r="H83" s="60" t="n">
        <x:v>10000</x:v>
      </x:c>
    </x:row>
    <x:row r="84" ht="15" hidden="0" customHeight="1">
      <x:c r="A84" s="58" t="str">
        <x:v>deriva_restrictiva</x:v>
      </x:c>
      <x:c r="B84" s="59" t="n">
        <x:v>2028</x:v>
      </x:c>
      <x:c r="C84" s="58" t="str">
        <x:v>Political culture</x:v>
      </x:c>
      <x:c r="D84" s="58" t="str">
        <x:v>Cultura política</x:v>
      </x:c>
      <x:c r="E84" s="59" t="n">
        <x:v>1.955</x:v>
      </x:c>
      <x:c r="F84" s="59" t="n">
        <x:v>2.497</x:v>
      </x:c>
      <x:c r="G84" s="59" t="n">
        <x:v>3.049</x:v>
      </x:c>
      <x:c r="H84" s="59" t="n">
        <x:v>10000</x:v>
      </x:c>
    </x:row>
    <x:row r="85" ht="15" hidden="0" customHeight="1">
      <x:c r="A85" s="57" t="str">
        <x:v>deriva_restrictiva</x:v>
      </x:c>
      <x:c r="B85" s="60" t="n">
        <x:v>2028</x:v>
      </x:c>
      <x:c r="C85" s="57" t="str">
        <x:v>Civil liberties</x:v>
      </x:c>
      <x:c r="D85" s="57" t="str">
        <x:v>Libertades civiles</x:v>
      </x:c>
      <x:c r="E85" s="60" t="n">
        <x:v>5.586</x:v>
      </x:c>
      <x:c r="F85" s="60" t="n">
        <x:v>5.836</x:v>
      </x:c>
      <x:c r="G85" s="60" t="n">
        <x:v>6.088</x:v>
      </x:c>
      <x:c r="H85" s="60" t="n">
        <x:v>10000</x:v>
      </x:c>
    </x:row>
    <x:row r="86" ht="15" hidden="0" customHeight="1">
      <x:c r="A86" s="58" t="str">
        <x:v>deriva_restrictiva</x:v>
      </x:c>
      <x:c r="B86" s="59" t="n">
        <x:v>2029</x:v>
      </x:c>
      <x:c r="C86" s="58" t="str">
        <x:v>Electoral process and pluralism</x:v>
      </x:c>
      <x:c r="D86" s="58" t="str">
        <x:v>Proceso electoral y pluralismo</x:v>
      </x:c>
      <x:c r="E86" s="59" t="n">
        <x:v>8.526</x:v>
      </x:c>
      <x:c r="F86" s="59" t="n">
        <x:v>8.692</x:v>
      </x:c>
      <x:c r="G86" s="59" t="n">
        <x:v>8.859</x:v>
      </x:c>
      <x:c r="H86" s="59" t="n">
        <x:v>10000</x:v>
      </x:c>
    </x:row>
    <x:row r="87" ht="15" hidden="0" customHeight="1">
      <x:c r="A87" s="57" t="str">
        <x:v>deriva_restrictiva</x:v>
      </x:c>
      <x:c r="B87" s="60" t="n">
        <x:v>2029</x:v>
      </x:c>
      <x:c r="C87" s="57" t="str">
        <x:v>Functioning of government</x:v>
      </x:c>
      <x:c r="D87" s="57" t="str">
        <x:v>Funcionamiento del gobierno</x:v>
      </x:c>
      <x:c r="E87" s="60" t="n">
        <x:v>5.28</x:v>
      </x:c>
      <x:c r="F87" s="60" t="n">
        <x:v>5.477</x:v>
      </x:c>
      <x:c r="G87" s="60" t="n">
        <x:v>5.674</x:v>
      </x:c>
      <x:c r="H87" s="60" t="n">
        <x:v>10000</x:v>
      </x:c>
    </x:row>
    <x:row r="88" ht="15" hidden="0" customHeight="1">
      <x:c r="A88" s="58" t="str">
        <x:v>deriva_restrictiva</x:v>
      </x:c>
      <x:c r="B88" s="59" t="n">
        <x:v>2029</x:v>
      </x:c>
      <x:c r="C88" s="58" t="str">
        <x:v>Political participation</x:v>
      </x:c>
      <x:c r="D88" s="58" t="str">
        <x:v>Participación política</x:v>
      </x:c>
      <x:c r="E88" s="59" t="n">
        <x:v>4.574</x:v>
      </x:c>
      <x:c r="F88" s="59" t="n">
        <x:v>4.834</x:v>
      </x:c>
      <x:c r="G88" s="59" t="n">
        <x:v>5.09</x:v>
      </x:c>
      <x:c r="H88" s="59" t="n">
        <x:v>10000</x:v>
      </x:c>
    </x:row>
    <x:row r="89" ht="15" hidden="0" customHeight="1">
      <x:c r="A89" s="57" t="str">
        <x:v>deriva_restrictiva</x:v>
      </x:c>
      <x:c r="B89" s="60" t="n">
        <x:v>2029</x:v>
      </x:c>
      <x:c r="C89" s="57" t="str">
        <x:v>Political culture</x:v>
      </x:c>
      <x:c r="D89" s="57" t="str">
        <x:v>Cultura política</x:v>
      </x:c>
      <x:c r="E89" s="60" t="n">
        <x:v>1.79</x:v>
      </x:c>
      <x:c r="F89" s="60" t="n">
        <x:v>2.408</x:v>
      </x:c>
      <x:c r="G89" s="60" t="n">
        <x:v>3.013</x:v>
      </x:c>
      <x:c r="H89" s="60" t="n">
        <x:v>10000</x:v>
      </x:c>
    </x:row>
    <x:row r="90" ht="15" hidden="0" customHeight="1">
      <x:c r="A90" s="58" t="str">
        <x:v>deriva_restrictiva</x:v>
      </x:c>
      <x:c r="B90" s="59" t="n">
        <x:v>2029</x:v>
      </x:c>
      <x:c r="C90" s="58" t="str">
        <x:v>Civil liberties</x:v>
      </x:c>
      <x:c r="D90" s="58" t="str">
        <x:v>Libertades civiles</x:v>
      </x:c>
      <x:c r="E90" s="59" t="n">
        <x:v>5.426</x:v>
      </x:c>
      <x:c r="F90" s="59" t="n">
        <x:v>5.707</x:v>
      </x:c>
      <x:c r="G90" s="59" t="n">
        <x:v>5.983</x:v>
      </x:c>
      <x:c r="H90" s="59" t="n">
        <x:v>10000</x:v>
      </x:c>
    </x:row>
    <x:row r="91" ht="15" hidden="0" customHeight="1">
      <x:c r="A91" s="57" t="str">
        <x:v>deriva_restrictiva</x:v>
      </x:c>
      <x:c r="B91" s="60" t="n">
        <x:v>2030</x:v>
      </x:c>
      <x:c r="C91" s="57" t="str">
        <x:v>Electoral process and pluralism</x:v>
      </x:c>
      <x:c r="D91" s="57" t="str">
        <x:v>Proceso electoral y pluralismo</x:v>
      </x:c>
      <x:c r="E91" s="60" t="n">
        <x:v>8.484</x:v>
      </x:c>
      <x:c r="F91" s="60" t="n">
        <x:v>8.665</x:v>
      </x:c>
      <x:c r="G91" s="60" t="n">
        <x:v>8.844</x:v>
      </x:c>
      <x:c r="H91" s="60" t="n">
        <x:v>10000</x:v>
      </x:c>
    </x:row>
    <x:row r="92" ht="15" hidden="0" customHeight="1">
      <x:c r="A92" s="58" t="str">
        <x:v>deriva_restrictiva</x:v>
      </x:c>
      <x:c r="B92" s="59" t="n">
        <x:v>2030</x:v>
      </x:c>
      <x:c r="C92" s="58" t="str">
        <x:v>Functioning of government</x:v>
      </x:c>
      <x:c r="D92" s="58" t="str">
        <x:v>Funcionamiento del gobierno</x:v>
      </x:c>
      <x:c r="E92" s="59" t="n">
        <x:v>5.164</x:v>
      </x:c>
      <x:c r="F92" s="59" t="n">
        <x:v>5.386</x:v>
      </x:c>
      <x:c r="G92" s="59" t="n">
        <x:v>5.606</x:v>
      </x:c>
      <x:c r="H92" s="59" t="n">
        <x:v>10000</x:v>
      </x:c>
    </x:row>
    <x:row r="93" ht="15" hidden="0" customHeight="1">
      <x:c r="A93" s="57" t="str">
        <x:v>deriva_restrictiva</x:v>
      </x:c>
      <x:c r="B93" s="60" t="n">
        <x:v>2030</x:v>
      </x:c>
      <x:c r="C93" s="57" t="str">
        <x:v>Political participation</x:v>
      </x:c>
      <x:c r="D93" s="57" t="str">
        <x:v>Participación política</x:v>
      </x:c>
      <x:c r="E93" s="60" t="n">
        <x:v>4.505</x:v>
      </x:c>
      <x:c r="F93" s="60" t="n">
        <x:v>4.783</x:v>
      </x:c>
      <x:c r="G93" s="60" t="n">
        <x:v>5.062</x:v>
      </x:c>
      <x:c r="H93" s="60" t="n">
        <x:v>10000</x:v>
      </x:c>
    </x:row>
    <x:row r="94" ht="15" hidden="0" customHeight="1">
      <x:c r="A94" s="58" t="str">
        <x:v>deriva_restrictiva</x:v>
      </x:c>
      <x:c r="B94" s="59" t="n">
        <x:v>2030</x:v>
      </x:c>
      <x:c r="C94" s="58" t="str">
        <x:v>Political culture</x:v>
      </x:c>
      <x:c r="D94" s="58" t="str">
        <x:v>Cultura política</x:v>
      </x:c>
      <x:c r="E94" s="59" t="n">
        <x:v>1.636</x:v>
      </x:c>
      <x:c r="F94" s="59" t="n">
        <x:v>2.317</x:v>
      </x:c>
      <x:c r="G94" s="59" t="n">
        <x:v>2.975</x:v>
      </x:c>
      <x:c r="H94" s="59" t="n">
        <x:v>10000</x:v>
      </x:c>
    </x:row>
    <x:row r="95" ht="15" hidden="0" customHeight="1">
      <x:c r="A95" s="57" t="str">
        <x:v>deriva_restrictiva</x:v>
      </x:c>
      <x:c r="B95" s="60" t="n">
        <x:v>2030</x:v>
      </x:c>
      <x:c r="C95" s="57" t="str">
        <x:v>Civil liberties</x:v>
      </x:c>
      <x:c r="D95" s="57" t="str">
        <x:v>Libertades civiles</x:v>
      </x:c>
      <x:c r="E95" s="60" t="n">
        <x:v>5.287</x:v>
      </x:c>
      <x:c r="F95" s="60" t="n">
        <x:v>5.597</x:v>
      </x:c>
      <x:c r="G95" s="60" t="n">
        <x:v>5.904</x:v>
      </x:c>
      <x:c r="H95" s="60" t="n">
        <x:v>10000</x:v>
      </x:c>
    </x:row>
  </x:sheetData>
  <x:mergeCells>
    <x:mergeCell ref="A1:H1"/>
    <x:mergeCell ref="A2:H2"/>
  </x:mergeCells>
  <x:pageMargins left="0.7" right="0.7" top="0.75" bottom="0.75" header="0.3" footer="0.3"/>
  <x:tableParts count="1">
    <x:tablePart xmlns:r="http://schemas.openxmlformats.org/officeDocument/2006/relationships" r:id="R5fd7902a3ab04ce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44" hidden="0" customWidth="1"/>
    <x:col min="4" max="4" width="44" hidden="0" customWidth="1"/>
    <x:col min="5" max="5" width="34" hidden="0" customWidth="1"/>
    <x:col min="6" max="6" width="34" hidden="0" customWidth="1"/>
    <x:col min="7" max="7" width="34" hidden="0" customWidth="1"/>
    <x:col min="8" max="8" width="34" hidden="0" customWidth="1"/>
    <x:col min="9" max="9" width="44" hidden="0" customWidth="1"/>
    <x:col min="10" max="10" width="34" hidden="0" customWidth="1"/>
    <x:col min="11" max="11" width="44" hidden="0" customWidth="1"/>
    <x:col min="12" max="12" width="34" hidden="0" customWidth="1"/>
    <x:col min="13" max="13" width="34" hidden="0" customWidth="1"/>
    <x:col min="14" max="14" width="34" hidden="0" customWidth="1"/>
  </x:cols>
  <x:sheetData>
    <x:row r="1" ht="19.200000762939453" hidden="0" customHeight="1">
      <x:c r="A1" s="3" t="str">
        <x:v>Matriz de elicitación de parámetros</x:v>
      </x:c>
      <x:c r="B1" s="3" t="str">
        <x:v>Matriz de elicitación de parámetros</x:v>
      </x:c>
      <x:c r="C1" s="3" t="str">
        <x:v>Matriz de elicitación de parámetros</x:v>
      </x:c>
      <x:c r="D1" s="3" t="str">
        <x:v>Matriz de elicitación de parámetros</x:v>
      </x:c>
      <x:c r="E1" s="3" t="str">
        <x:v>Matriz de elicitación de parámetros</x:v>
      </x:c>
      <x:c r="F1" s="3" t="str">
        <x:v>Matriz de elicitación de parámetros</x:v>
      </x:c>
      <x:c r="G1" s="3" t="str">
        <x:v>Matriz de elicitación de parámetros</x:v>
      </x:c>
      <x:c r="H1" s="3" t="str">
        <x:v>Matriz de elicitación de parámetros</x:v>
      </x:c>
      <x:c r="I1" s="3" t="str">
        <x:v>Matriz de elicitación de parámetros</x:v>
      </x:c>
      <x:c r="J1" s="3" t="str">
        <x:v>Matriz de elicitación de parámetros</x:v>
      </x:c>
      <x:c r="K1" s="3" t="str">
        <x:v>Matriz de elicitación de parámetros</x:v>
      </x:c>
      <x:c r="L1" s="3" t="str">
        <x:v>Matriz de elicitación de parámetros</x:v>
      </x:c>
      <x:c r="M1" s="3" t="str">
        <x:v>Matriz de elicitación de parámetros</x:v>
      </x:c>
      <x:c r="N1" s="3" t="str">
        <x:v>Matriz de elicitación de parámetros</x:v>
      </x:c>
    </x:row>
    <x:row r="2" ht="15" hidden="0" customHeight="1">
      <x:c r="A2" s="7" t="str">
        <x:v>Cada juicio estructurado declara valor central, rango plausible, evidencia, señal, regla de traducción, autor, fecha y estatus. No son efectos econométricamente estimados.</x:v>
      </x:c>
      <x:c r="B2" s="7" t="str">
        <x:v>Cada juicio estructurado declara valor central, rango plausible, evidencia, señal, regla de traducción, autor, fecha y estatus. No son efectos econométricamente estimados.</x:v>
      </x:c>
      <x:c r="C2" s="7" t="str">
        <x:v>Cada juicio estructurado declara valor central, rango plausible, evidencia, señal, regla de traducción, autor, fecha y estatus. No son efectos econométricamente estimados.</x:v>
      </x:c>
      <x:c r="D2" s="7" t="str">
        <x:v>Cada juicio estructurado declara valor central, rango plausible, evidencia, señal, regla de traducción, autor, fecha y estatus. No son efectos econométricamente estimados.</x:v>
      </x:c>
      <x:c r="E2" s="7" t="str">
        <x:v>Cada juicio estructurado declara valor central, rango plausible, evidencia, señal, regla de traducción, autor, fecha y estatus. No son efectos econométricamente estimados.</x:v>
      </x:c>
      <x:c r="F2" s="7" t="str">
        <x:v>Cada juicio estructurado declara valor central, rango plausible, evidencia, señal, regla de traducción, autor, fecha y estatus. No son efectos econométricamente estimados.</x:v>
      </x:c>
      <x:c r="G2" s="7" t="str">
        <x:v>Cada juicio estructurado declara valor central, rango plausible, evidencia, señal, regla de traducción, autor, fecha y estatus. No son efectos econométricamente estimados.</x:v>
      </x:c>
      <x:c r="H2" s="7" t="str">
        <x:v>Cada juicio estructurado declara valor central, rango plausible, evidencia, señal, regla de traducción, autor, fecha y estatus. No son efectos econométricamente estimados.</x:v>
      </x:c>
      <x:c r="I2" s="7" t="str">
        <x:v>Cada juicio estructurado declara valor central, rango plausible, evidencia, señal, regla de traducción, autor, fecha y estatus. No son efectos econométricamente estimados.</x:v>
      </x:c>
      <x:c r="J2" s="7" t="str">
        <x:v>Cada juicio estructurado declara valor central, rango plausible, evidencia, señal, regla de traducción, autor, fecha y estatus. No son efectos econométricamente estimados.</x:v>
      </x:c>
      <x:c r="K2" s="7" t="str">
        <x:v>Cada juicio estructurado declara valor central, rango plausible, evidencia, señal, regla de traducción, autor, fecha y estatus. No son efectos econométricamente estimados.</x:v>
      </x:c>
      <x:c r="L2" s="7" t="str">
        <x:v>Cada juicio estructurado declara valor central, rango plausible, evidencia, señal, regla de traducción, autor, fecha y estatus. No son efectos econométricamente estimados.</x:v>
      </x:c>
      <x:c r="M2" s="7" t="str">
        <x:v>Cada juicio estructurado declara valor central, rango plausible, evidencia, señal, regla de traducción, autor, fecha y estatus. No son efectos econométricamente estimados.</x:v>
      </x:c>
      <x:c r="N2" s="7" t="str">
        <x:v>Cada juicio estructurado declara valor central, rango plausible, evidencia, señal, regla de traducción, autor, fecha y estatus. No son efectos econométricamente estimados.</x:v>
      </x:c>
    </x:row>
    <x:row r="3" ht="15" hidden="0" customHeight="1">
      <x:c r="A3" s="8"/>
      <x:c r="B3" s="8"/>
      <x:c r="C3" s="8"/>
      <x:c r="D3" s="8"/>
      <x:c r="E3" s="8"/>
      <x:c r="F3" s="8"/>
      <x:c r="G3" s="8"/>
      <x:c r="H3" s="8"/>
      <x:c r="I3" s="8"/>
      <x:c r="J3" s="8"/>
      <x:c r="K3" s="8"/>
      <x:c r="L3" s="8"/>
      <x:c r="M3" s="8"/>
      <x:c r="N3" s="8"/>
    </x:row>
    <x:row r="4"/>
    <x:row r="5" ht="15" hidden="0" customHeight="1">
      <x:c r="A5" s="14" t="str">
        <x:v>scenario_id</x:v>
      </x:c>
      <x:c r="B5" s="14" t="str">
        <x:v>scenario_name</x:v>
      </x:c>
      <x:c r="C5" s="14" t="str">
        <x:v>category_full</x:v>
      </x:c>
      <x:c r="D5" s="14" t="str">
        <x:v>category_es</x:v>
      </x:c>
      <x:c r="E5" s="14" t="str">
        <x:v>parameter</x:v>
      </x:c>
      <x:c r="F5" s="14" t="str">
        <x:v>central</x:v>
      </x:c>
      <x:c r="G5" s="14" t="str">
        <x:v>plausible_low</x:v>
      </x:c>
      <x:c r="H5" s="14" t="str">
        <x:v>plausible_high</x:v>
      </x:c>
      <x:c r="I5" s="14" t="str">
        <x:v>evidence_basis</x:v>
      </x:c>
      <x:c r="J5" s="14" t="str">
        <x:v>signal</x:v>
      </x:c>
      <x:c r="K5" s="14" t="str">
        <x:v>translation_rule</x:v>
      </x:c>
      <x:c r="L5" s="14" t="str">
        <x:v>decision_author</x:v>
      </x:c>
      <x:c r="M5" s="14" t="str">
        <x:v>decision_date</x:v>
      </x:c>
      <x:c r="N5" s="14" t="str">
        <x:v>parameter_status</x:v>
      </x:c>
    </x:row>
    <x:row r="6" ht="15" hidden="0" customHeight="1">
      <x:c r="A6" s="58" t="str">
        <x:v>recuperacion_institucional</x:v>
      </x:c>
      <x:c r="B6" s="58" t="str">
        <x:v>Recuperación institucional y gobernabilidad negociada</x:v>
      </x:c>
      <x:c r="C6" s="58" t="str">
        <x:v>Electoral process and pluralism</x:v>
      </x:c>
      <x:c r="D6" s="58" t="str">
        <x:v>Proceso electoral y pluralismo</x:v>
      </x:c>
      <x:c r="E6" s="58" t="str">
        <x:v>shock_2026</x:v>
      </x:c>
      <x:c r="F6" s="59" t="n">
        <x:v>0.12</x:v>
      </x:c>
      <x:c r="G6" s="59" t="n">
        <x:v>0.06</x:v>
      </x:c>
      <x:c r="H6" s="59" t="n">
        <x:v>0.18</x:v>
      </x:c>
      <x:c r="I6" s="58" t="str">
        <x:v>E01;E02;E03</x:v>
      </x:c>
      <x:c r="J6" s="58" t="str">
        <x:v>positive</x:v>
      </x:c>
      <x:c r="K6" s="58" t="str">
        <x:v>Implementación y legitimación electoral elevan moderadamente el componente; rango acotado por persistencia de polarización.</x:v>
      </x:c>
      <x:c r="L6" s="58" t="str">
        <x:v>Magdiel Torres Vanegas</x:v>
      </x:c>
      <x:c r="M6" s="58" t="str">
        <x:v>2026-08-25</x:v>
      </x:c>
      <x:c r="N6" s="58" t="str">
        <x:v>structured_analytical_judgment</x:v>
      </x:c>
    </x:row>
    <x:row r="7" ht="15" hidden="0" customHeight="1">
      <x:c r="A7" s="57" t="str">
        <x:v>recuperacion_institucional</x:v>
      </x:c>
      <x:c r="B7" s="57" t="str">
        <x:v>Recuperación institucional y gobernabilidad negociada</x:v>
      </x:c>
      <x:c r="C7" s="57" t="str">
        <x:v>Electoral process and pluralism</x:v>
      </x:c>
      <x:c r="D7" s="57" t="str">
        <x:v>Proceso electoral y pluralismo</x:v>
      </x:c>
      <x:c r="E7" s="57" t="str">
        <x:v>annual_structural_rate</x:v>
      </x:c>
      <x:c r="F7" s="60" t="n">
        <x:v>0.04</x:v>
      </x:c>
      <x:c r="G7" s="60" t="n">
        <x:v>0.01</x:v>
      </x:c>
      <x:c r="H7" s="60" t="n">
        <x:v>0.07</x:v>
      </x:c>
      <x:c r="I7" s="57" t="str">
        <x:v>E01;E02</x:v>
      </x:c>
      <x:c r="J7" s="57" t="str">
        <x:v>positive</x:v>
      </x:c>
      <x:c r="K7" s="57" t="str">
        <x:v>Cumplimiento gradual de recomendaciones; efecto anual pequeño y decreciente.</x:v>
      </x:c>
      <x:c r="L7" s="57" t="str">
        <x:v>Magdiel Torres Vanegas</x:v>
      </x:c>
      <x:c r="M7" s="57" t="str">
        <x:v>2026-08-25</x:v>
      </x:c>
      <x:c r="N7" s="57" t="str">
        <x:v>structured_analytical_judgment</x:v>
      </x:c>
    </x:row>
    <x:row r="8" ht="15" hidden="0" customHeight="1">
      <x:c r="A8" s="58" t="str">
        <x:v>recuperacion_institucional</x:v>
      </x:c>
      <x:c r="B8" s="58" t="str">
        <x:v>Recuperación institucional y gobernabilidad negociada</x:v>
      </x:c>
      <x:c r="C8" s="58" t="str">
        <x:v>Functioning of government</x:v>
      </x:c>
      <x:c r="D8" s="58" t="str">
        <x:v>Funcionamiento del gobierno</x:v>
      </x:c>
      <x:c r="E8" s="58" t="str">
        <x:v>shock_2026</x:v>
      </x:c>
      <x:c r="F8" s="59" t="n">
        <x:v>0.12</x:v>
      </x:c>
      <x:c r="G8" s="59" t="n">
        <x:v>0.04</x:v>
      </x:c>
      <x:c r="H8" s="59" t="n">
        <x:v>0.2</x:v>
      </x:c>
      <x:c r="I8" s="58" t="str">
        <x:v>E01;E05;E08</x:v>
      </x:c>
      <x:c r="J8" s="58" t="str">
        <x:v>positive</x:v>
      </x:c>
      <x:c r="K8" s="58" t="str">
        <x:v>Acuerdos de gobernabilidad producen mejora inicial limitada por fragmentación institucional.</x:v>
      </x:c>
      <x:c r="L8" s="58" t="str">
        <x:v>Magdiel Torres Vanegas</x:v>
      </x:c>
      <x:c r="M8" s="58" t="str">
        <x:v>2026-08-25</x:v>
      </x:c>
      <x:c r="N8" s="58" t="str">
        <x:v>structured_analytical_judgment</x:v>
      </x:c>
    </x:row>
    <x:row r="9" ht="15" hidden="0" customHeight="1">
      <x:c r="A9" s="57" t="str">
        <x:v>recuperacion_institucional</x:v>
      </x:c>
      <x:c r="B9" s="57" t="str">
        <x:v>Recuperación institucional y gobernabilidad negociada</x:v>
      </x:c>
      <x:c r="C9" s="57" t="str">
        <x:v>Functioning of government</x:v>
      </x:c>
      <x:c r="D9" s="57" t="str">
        <x:v>Funcionamiento del gobierno</x:v>
      </x:c>
      <x:c r="E9" s="57" t="str">
        <x:v>annual_structural_rate</x:v>
      </x:c>
      <x:c r="F9" s="60" t="n">
        <x:v>0.1</x:v>
      </x:c>
      <x:c r="G9" s="60" t="n">
        <x:v>0.04</x:v>
      </x:c>
      <x:c r="H9" s="60" t="n">
        <x:v>0.16</x:v>
      </x:c>
      <x:c r="I9" s="57" t="str">
        <x:v>E01;E05;E08</x:v>
      </x:c>
      <x:c r="J9" s="57" t="str">
        <x:v>positive</x:v>
      </x:c>
      <x:c r="K9" s="57" t="str">
        <x:v>Coalición estable y capacidad de implementación sostienen una mejora gradual.</x:v>
      </x:c>
      <x:c r="L9" s="57" t="str">
        <x:v>Magdiel Torres Vanegas</x:v>
      </x:c>
      <x:c r="M9" s="57" t="str">
        <x:v>2026-08-25</x:v>
      </x:c>
      <x:c r="N9" s="57" t="str">
        <x:v>structured_analytical_judgment</x:v>
      </x:c>
    </x:row>
    <x:row r="10" ht="15" hidden="0" customHeight="1">
      <x:c r="A10" s="58" t="str">
        <x:v>recuperacion_institucional</x:v>
      </x:c>
      <x:c r="B10" s="58" t="str">
        <x:v>Recuperación institucional y gobernabilidad negociada</x:v>
      </x:c>
      <x:c r="C10" s="58" t="str">
        <x:v>Political participation</x:v>
      </x:c>
      <x:c r="D10" s="58" t="str">
        <x:v>Participación política</x:v>
      </x:c>
      <x:c r="E10" s="58" t="str">
        <x:v>shock_2026</x:v>
      </x:c>
      <x:c r="F10" s="59" t="n">
        <x:v>0.08</x:v>
      </x:c>
      <x:c r="G10" s="59" t="n">
        <x:v>0.02</x:v>
      </x:c>
      <x:c r="H10" s="59" t="n">
        <x:v>0.14</x:v>
      </x:c>
      <x:c r="I10" s="58" t="str">
        <x:v>E01;E07</x:v>
      </x:c>
      <x:c r="J10" s="58" t="str">
        <x:v>positive</x:v>
      </x:c>
      <x:c r="K10" s="58" t="str">
        <x:v>Legitimidad y acceso a información inducen una mejora inicial moderada.</x:v>
      </x:c>
      <x:c r="L10" s="58" t="str">
        <x:v>Magdiel Torres Vanegas</x:v>
      </x:c>
      <x:c r="M10" s="58" t="str">
        <x:v>2026-08-25</x:v>
      </x:c>
      <x:c r="N10" s="58" t="str">
        <x:v>structured_analytical_judgment</x:v>
      </x:c>
    </x:row>
    <x:row r="11" ht="15" hidden="0" customHeight="1">
      <x:c r="A11" s="57" t="str">
        <x:v>recuperacion_institucional</x:v>
      </x:c>
      <x:c r="B11" s="57" t="str">
        <x:v>Recuperación institucional y gobernabilidad negociada</x:v>
      </x:c>
      <x:c r="C11" s="57" t="str">
        <x:v>Political participation</x:v>
      </x:c>
      <x:c r="D11" s="57" t="str">
        <x:v>Participación política</x:v>
      </x:c>
      <x:c r="E11" s="57" t="str">
        <x:v>annual_structural_rate</x:v>
      </x:c>
      <x:c r="F11" s="60" t="n">
        <x:v>0.06</x:v>
      </x:c>
      <x:c r="G11" s="60" t="n">
        <x:v>0.02</x:v>
      </x:c>
      <x:c r="H11" s="60" t="n">
        <x:v>0.1</x:v>
      </x:c>
      <x:c r="I11" s="57" t="str">
        <x:v>E01;E07</x:v>
      </x:c>
      <x:c r="J11" s="57" t="str">
        <x:v>positive</x:v>
      </x:c>
      <x:c r="K11" s="57" t="str">
        <x:v>Mecanismos de participación se consolidan lentamente.</x:v>
      </x:c>
      <x:c r="L11" s="57" t="str">
        <x:v>Magdiel Torres Vanegas</x:v>
      </x:c>
      <x:c r="M11" s="57" t="str">
        <x:v>2026-08-25</x:v>
      </x:c>
      <x:c r="N11" s="57" t="str">
        <x:v>structured_analytical_judgment</x:v>
      </x:c>
    </x:row>
    <x:row r="12" ht="15" hidden="0" customHeight="1">
      <x:c r="A12" s="58" t="str">
        <x:v>recuperacion_institucional</x:v>
      </x:c>
      <x:c r="B12" s="58" t="str">
        <x:v>Recuperación institucional y gobernabilidad negociada</x:v>
      </x:c>
      <x:c r="C12" s="58" t="str">
        <x:v>Political culture</x:v>
      </x:c>
      <x:c r="D12" s="58" t="str">
        <x:v>Cultura política</x:v>
      </x:c>
      <x:c r="E12" s="58" t="str">
        <x:v>shock_2026</x:v>
      </x:c>
      <x:c r="F12" s="59" t="n">
        <x:v>0.15</x:v>
      </x:c>
      <x:c r="G12" s="59" t="n">
        <x:v>0.05</x:v>
      </x:c>
      <x:c r="H12" s="59" t="n">
        <x:v>0.25</x:v>
      </x:c>
      <x:c r="I12" s="58" t="str">
        <x:v>E06;E08;E09</x:v>
      </x:c>
      <x:c r="J12" s="58" t="str">
        <x:v>positive</x:v>
      </x:c>
      <x:c r="K12" s="58" t="str">
        <x:v>Reducción de confrontación y aceptación de reglas permiten una recuperación parcial.</x:v>
      </x:c>
      <x:c r="L12" s="58" t="str">
        <x:v>Magdiel Torres Vanegas</x:v>
      </x:c>
      <x:c r="M12" s="58" t="str">
        <x:v>2026-08-25</x:v>
      </x:c>
      <x:c r="N12" s="58" t="str">
        <x:v>structured_analytical_judgment</x:v>
      </x:c>
    </x:row>
    <x:row r="13" ht="15" hidden="0" customHeight="1">
      <x:c r="A13" s="57" t="str">
        <x:v>recuperacion_institucional</x:v>
      </x:c>
      <x:c r="B13" s="57" t="str">
        <x:v>Recuperación institucional y gobernabilidad negociada</x:v>
      </x:c>
      <x:c r="C13" s="57" t="str">
        <x:v>Political culture</x:v>
      </x:c>
      <x:c r="D13" s="57" t="str">
        <x:v>Cultura política</x:v>
      </x:c>
      <x:c r="E13" s="57" t="str">
        <x:v>annual_structural_rate</x:v>
      </x:c>
      <x:c r="F13" s="60" t="n">
        <x:v>0.1</x:v>
      </x:c>
      <x:c r="G13" s="60" t="n">
        <x:v>0.04</x:v>
      </x:c>
      <x:c r="H13" s="60" t="n">
        <x:v>0.16</x:v>
      </x:c>
      <x:c r="I13" s="57" t="str">
        <x:v>E06;E08</x:v>
      </x:c>
      <x:c r="J13" s="57" t="str">
        <x:v>positive</x:v>
      </x:c>
      <x:c r="K13" s="57" t="str">
        <x:v>Recuperación gradual desde una base baja; no supone normalización inmediata.</x:v>
      </x:c>
      <x:c r="L13" s="57" t="str">
        <x:v>Magdiel Torres Vanegas</x:v>
      </x:c>
      <x:c r="M13" s="57" t="str">
        <x:v>2026-08-25</x:v>
      </x:c>
      <x:c r="N13" s="57" t="str">
        <x:v>structured_analytical_judgment</x:v>
      </x:c>
    </x:row>
    <x:row r="14" ht="15" hidden="0" customHeight="1">
      <x:c r="A14" s="58" t="str">
        <x:v>recuperacion_institucional</x:v>
      </x:c>
      <x:c r="B14" s="58" t="str">
        <x:v>Recuperación institucional y gobernabilidad negociada</x:v>
      </x:c>
      <x:c r="C14" s="58" t="str">
        <x:v>Civil liberties</x:v>
      </x:c>
      <x:c r="D14" s="58" t="str">
        <x:v>Libertades civiles</x:v>
      </x:c>
      <x:c r="E14" s="58" t="str">
        <x:v>shock_2026</x:v>
      </x:c>
      <x:c r="F14" s="59" t="n">
        <x:v>0.05</x:v>
      </x:c>
      <x:c r="G14" s="59" t="n">
        <x:v>-0.02</x:v>
      </x:c>
      <x:c r="H14" s="59" t="n">
        <x:v>0.12</x:v>
      </x:c>
      <x:c r="I14" s="58" t="str">
        <x:v>E01;E05</x:v>
      </x:c>
      <x:c r="J14" s="58" t="str">
        <x:v>weak_positive</x:v>
      </x:c>
      <x:c r="K14" s="58" t="str">
        <x:v>Controles judiciales compensan parcialmente la presión securitaria.</x:v>
      </x:c>
      <x:c r="L14" s="58" t="str">
        <x:v>Magdiel Torres Vanegas</x:v>
      </x:c>
      <x:c r="M14" s="58" t="str">
        <x:v>2026-08-25</x:v>
      </x:c>
      <x:c r="N14" s="58" t="str">
        <x:v>structured_analytical_judgment</x:v>
      </x:c>
    </x:row>
    <x:row r="15" ht="15" hidden="0" customHeight="1">
      <x:c r="A15" s="57" t="str">
        <x:v>recuperacion_institucional</x:v>
      </x:c>
      <x:c r="B15" s="57" t="str">
        <x:v>Recuperación institucional y gobernabilidad negociada</x:v>
      </x:c>
      <x:c r="C15" s="57" t="str">
        <x:v>Civil liberties</x:v>
      </x:c>
      <x:c r="D15" s="57" t="str">
        <x:v>Libertades civiles</x:v>
      </x:c>
      <x:c r="E15" s="57" t="str">
        <x:v>annual_structural_rate</x:v>
      </x:c>
      <x:c r="F15" s="60" t="n">
        <x:v>0.05</x:v>
      </x:c>
      <x:c r="G15" s="60" t="n">
        <x:v>0.01</x:v>
      </x:c>
      <x:c r="H15" s="60" t="n">
        <x:v>0.09</x:v>
      </x:c>
      <x:c r="I15" s="57" t="str">
        <x:v>E01;E05</x:v>
      </x:c>
      <x:c r="J15" s="57" t="str">
        <x:v>positive</x:v>
      </x:c>
      <x:c r="K15" s="57" t="str">
        <x:v>Institucionalización de salvaguardas genera mejora gradual.</x:v>
      </x:c>
      <x:c r="L15" s="57" t="str">
        <x:v>Magdiel Torres Vanegas</x:v>
      </x:c>
      <x:c r="M15" s="57" t="str">
        <x:v>2026-08-25</x:v>
      </x:c>
      <x:c r="N15" s="57" t="str">
        <x:v>structured_analytical_judgment</x:v>
      </x:c>
    </x:row>
    <x:row r="16" ht="15" hidden="0" customHeight="1">
      <x:c r="A16" s="58" t="str">
        <x:v>continuidad_hibrida</x:v>
      </x:c>
      <x:c r="B16" s="58" t="str">
        <x:v>Continuidad híbrida y estabilización competitiva</x:v>
      </x:c>
      <x:c r="C16" s="58" t="str">
        <x:v>Electoral process and pluralism</x:v>
      </x:c>
      <x:c r="D16" s="58" t="str">
        <x:v>Proceso electoral y pluralismo</x:v>
      </x:c>
      <x:c r="E16" s="58" t="str">
        <x:v>shock_2026</x:v>
      </x:c>
      <x:c r="F16" s="59" t="n">
        <x:v>0.08</x:v>
      </x:c>
      <x:c r="G16" s="59" t="n">
        <x:v>0</x:v>
      </x:c>
      <x:c r="H16" s="59" t="n">
        <x:v>0.14</x:v>
      </x:c>
      <x:c r="I16" s="58" t="str">
        <x:v>E01;E02;E03</x:v>
      </x:c>
      <x:c r="J16" s="58" t="str">
        <x:v>weak_positive</x:v>
      </x:c>
      <x:c r="K16" s="58" t="str">
        <x:v>Aceptación formal del resultado mejora el componente sin reforma estructural.</x:v>
      </x:c>
      <x:c r="L16" s="58" t="str">
        <x:v>Magdiel Torres Vanegas</x:v>
      </x:c>
      <x:c r="M16" s="58" t="str">
        <x:v>2026-08-25</x:v>
      </x:c>
      <x:c r="N16" s="58" t="str">
        <x:v>structured_analytical_judgment</x:v>
      </x:c>
    </x:row>
    <x:row r="17" ht="15" hidden="0" customHeight="1">
      <x:c r="A17" s="57" t="str">
        <x:v>continuidad_hibrida</x:v>
      </x:c>
      <x:c r="B17" s="57" t="str">
        <x:v>Continuidad híbrida y estabilización competitiva</x:v>
      </x:c>
      <x:c r="C17" s="57" t="str">
        <x:v>Electoral process and pluralism</x:v>
      </x:c>
      <x:c r="D17" s="57" t="str">
        <x:v>Proceso electoral y pluralismo</x:v>
      </x:c>
      <x:c r="E17" s="57" t="str">
        <x:v>annual_structural_rate</x:v>
      </x:c>
      <x:c r="F17" s="60" t="n">
        <x:v>0</x:v>
      </x:c>
      <x:c r="G17" s="60" t="n">
        <x:v>-0.02</x:v>
      </x:c>
      <x:c r="H17" s="60" t="n">
        <x:v>0.02</x:v>
      </x:c>
      <x:c r="I17" s="57" t="str">
        <x:v>E01;E02</x:v>
      </x:c>
      <x:c r="J17" s="57" t="str">
        <x:v>neutral</x:v>
      </x:c>
      <x:c r="K17" s="57" t="str">
        <x:v>Competencia preservada con estabilidad procedimental y bajo cambio anual.</x:v>
      </x:c>
      <x:c r="L17" s="57" t="str">
        <x:v>Magdiel Torres Vanegas</x:v>
      </x:c>
      <x:c r="M17" s="57" t="str">
        <x:v>2026-08-25</x:v>
      </x:c>
      <x:c r="N17" s="57" t="str">
        <x:v>structured_analytical_judgment</x:v>
      </x:c>
    </x:row>
    <x:row r="18" ht="15" hidden="0" customHeight="1">
      <x:c r="A18" s="58" t="str">
        <x:v>continuidad_hibrida</x:v>
      </x:c>
      <x:c r="B18" s="58" t="str">
        <x:v>Continuidad híbrida y estabilización competitiva</x:v>
      </x:c>
      <x:c r="C18" s="58" t="str">
        <x:v>Functioning of government</x:v>
      </x:c>
      <x:c r="D18" s="58" t="str">
        <x:v>Funcionamiento del gobierno</x:v>
      </x:c>
      <x:c r="E18" s="58" t="str">
        <x:v>shock_2026</x:v>
      </x:c>
      <x:c r="F18" s="59" t="n">
        <x:v>-0.06</x:v>
      </x:c>
      <x:c r="G18" s="59" t="n">
        <x:v>-0.15</x:v>
      </x:c>
      <x:c r="H18" s="59" t="n">
        <x:v>0.03</x:v>
      </x:c>
      <x:c r="I18" s="58" t="str">
        <x:v>E04;E05;E08</x:v>
      </x:c>
      <x:c r="J18" s="58" t="str">
        <x:v>weak_negative</x:v>
      </x:c>
      <x:c r="K18" s="58" t="str">
        <x:v>Fragmentación y margen electoral estrecho limitan coordinación inicial.</x:v>
      </x:c>
      <x:c r="L18" s="58" t="str">
        <x:v>Magdiel Torres Vanegas</x:v>
      </x:c>
      <x:c r="M18" s="58" t="str">
        <x:v>2026-08-25</x:v>
      </x:c>
      <x:c r="N18" s="58" t="str">
        <x:v>structured_analytical_judgment</x:v>
      </x:c>
    </x:row>
    <x:row r="19" ht="15" hidden="0" customHeight="1">
      <x:c r="A19" s="57" t="str">
        <x:v>continuidad_hibrida</x:v>
      </x:c>
      <x:c r="B19" s="57" t="str">
        <x:v>Continuidad híbrida y estabilización competitiva</x:v>
      </x:c>
      <x:c r="C19" s="57" t="str">
        <x:v>Functioning of government</x:v>
      </x:c>
      <x:c r="D19" s="57" t="str">
        <x:v>Funcionamiento del gobierno</x:v>
      </x:c>
      <x:c r="E19" s="57" t="str">
        <x:v>annual_structural_rate</x:v>
      </x:c>
      <x:c r="F19" s="60" t="n">
        <x:v>0.01</x:v>
      </x:c>
      <x:c r="G19" s="60" t="n">
        <x:v>-0.03</x:v>
      </x:c>
      <x:c r="H19" s="60" t="n">
        <x:v>0.05</x:v>
      </x:c>
      <x:c r="I19" s="57" t="str">
        <x:v>E05;E08</x:v>
      </x:c>
      <x:c r="J19" s="57" t="str">
        <x:v>near_neutral</x:v>
      </x:c>
      <x:c r="K19" s="57" t="str">
        <x:v>Ajustes parciales compensan sin resolver debilidades de implementación.</x:v>
      </x:c>
      <x:c r="L19" s="57" t="str">
        <x:v>Magdiel Torres Vanegas</x:v>
      </x:c>
      <x:c r="M19" s="57" t="str">
        <x:v>2026-08-25</x:v>
      </x:c>
      <x:c r="N19" s="57" t="str">
        <x:v>structured_analytical_judgment</x:v>
      </x:c>
    </x:row>
    <x:row r="20" ht="15" hidden="0" customHeight="1">
      <x:c r="A20" s="58" t="str">
        <x:v>continuidad_hibrida</x:v>
      </x:c>
      <x:c r="B20" s="58" t="str">
        <x:v>Continuidad híbrida y estabilización competitiva</x:v>
      </x:c>
      <x:c r="C20" s="58" t="str">
        <x:v>Political participation</x:v>
      </x:c>
      <x:c r="D20" s="58" t="str">
        <x:v>Participación política</x:v>
      </x:c>
      <x:c r="E20" s="58" t="str">
        <x:v>shock_2026</x:v>
      </x:c>
      <x:c r="F20" s="59" t="n">
        <x:v>0.06</x:v>
      </x:c>
      <x:c r="G20" s="59" t="n">
        <x:v>-0.01</x:v>
      </x:c>
      <x:c r="H20" s="59" t="n">
        <x:v>0.12</x:v>
      </x:c>
      <x:c r="I20" s="58" t="str">
        <x:v>E03;E07</x:v>
      </x:c>
      <x:c r="J20" s="58" t="str">
        <x:v>weak_positive</x:v>
      </x:c>
      <x:c r="K20" s="58" t="str">
        <x:v>Movilización electoral preserva participación con efecto inicial acotado.</x:v>
      </x:c>
      <x:c r="L20" s="58" t="str">
        <x:v>Magdiel Torres Vanegas</x:v>
      </x:c>
      <x:c r="M20" s="58" t="str">
        <x:v>2026-08-25</x:v>
      </x:c>
      <x:c r="N20" s="58" t="str">
        <x:v>structured_analytical_judgment</x:v>
      </x:c>
    </x:row>
    <x:row r="21" ht="15" hidden="0" customHeight="1">
      <x:c r="A21" s="57" t="str">
        <x:v>continuidad_hibrida</x:v>
      </x:c>
      <x:c r="B21" s="57" t="str">
        <x:v>Continuidad híbrida y estabilización competitiva</x:v>
      </x:c>
      <x:c r="C21" s="57" t="str">
        <x:v>Political participation</x:v>
      </x:c>
      <x:c r="D21" s="57" t="str">
        <x:v>Participación política</x:v>
      </x:c>
      <x:c r="E21" s="57" t="str">
        <x:v>annual_structural_rate</x:v>
      </x:c>
      <x:c r="F21" s="60" t="n">
        <x:v>0.02</x:v>
      </x:c>
      <x:c r="G21" s="60" t="n">
        <x:v>-0.02</x:v>
      </x:c>
      <x:c r="H21" s="60" t="n">
        <x:v>0.06</x:v>
      </x:c>
      <x:c r="I21" s="57" t="str">
        <x:v>E07</x:v>
      </x:c>
      <x:c r="J21" s="57" t="str">
        <x:v>near_neutral</x:v>
      </x:c>
      <x:c r="K21" s="57" t="str">
        <x:v>Persistencia participativa sin reformas sostenidas.</x:v>
      </x:c>
      <x:c r="L21" s="57" t="str">
        <x:v>Magdiel Torres Vanegas</x:v>
      </x:c>
      <x:c r="M21" s="57" t="str">
        <x:v>2026-08-25</x:v>
      </x:c>
      <x:c r="N21" s="57" t="str">
        <x:v>structured_analytical_judgment</x:v>
      </x:c>
    </x:row>
    <x:row r="22" ht="15" hidden="0" customHeight="1">
      <x:c r="A22" s="58" t="str">
        <x:v>continuidad_hibrida</x:v>
      </x:c>
      <x:c r="B22" s="58" t="str">
        <x:v>Continuidad híbrida y estabilización competitiva</x:v>
      </x:c>
      <x:c r="C22" s="58" t="str">
        <x:v>Political culture</x:v>
      </x:c>
      <x:c r="D22" s="58" t="str">
        <x:v>Cultura política</x:v>
      </x:c>
      <x:c r="E22" s="58" t="str">
        <x:v>shock_2026</x:v>
      </x:c>
      <x:c r="F22" s="59" t="n">
        <x:v>-0.1</x:v>
      </x:c>
      <x:c r="G22" s="59" t="n">
        <x:v>-0.2</x:v>
      </x:c>
      <x:c r="H22" s="59" t="n">
        <x:v>0</x:v>
      </x:c>
      <x:c r="I22" s="58" t="str">
        <x:v>E04;E06;E08</x:v>
      </x:c>
      <x:c r="J22" s="58" t="str">
        <x:v>negative</x:v>
      </x:c>
      <x:c r="K22" s="58" t="str">
        <x:v>Polarización y desconfianza contrarrestan la normalización electoral.</x:v>
      </x:c>
      <x:c r="L22" s="58" t="str">
        <x:v>Magdiel Torres Vanegas</x:v>
      </x:c>
      <x:c r="M22" s="58" t="str">
        <x:v>2026-08-25</x:v>
      </x:c>
      <x:c r="N22" s="58" t="str">
        <x:v>structured_analytical_judgment</x:v>
      </x:c>
    </x:row>
    <x:row r="23" ht="15" hidden="0" customHeight="1">
      <x:c r="A23" s="57" t="str">
        <x:v>continuidad_hibrida</x:v>
      </x:c>
      <x:c r="B23" s="57" t="str">
        <x:v>Continuidad híbrida y estabilización competitiva</x:v>
      </x:c>
      <x:c r="C23" s="57" t="str">
        <x:v>Political culture</x:v>
      </x:c>
      <x:c r="D23" s="57" t="str">
        <x:v>Cultura política</x:v>
      </x:c>
      <x:c r="E23" s="57" t="str">
        <x:v>annual_structural_rate</x:v>
      </x:c>
      <x:c r="F23" s="60" t="n">
        <x:v>0</x:v>
      </x:c>
      <x:c r="G23" s="60" t="n">
        <x:v>-0.05</x:v>
      </x:c>
      <x:c r="H23" s="60" t="n">
        <x:v>0.05</x:v>
      </x:c>
      <x:c r="I23" s="57" t="str">
        <x:v>E06;E08</x:v>
      </x:c>
      <x:c r="J23" s="57" t="str">
        <x:v>neutral</x:v>
      </x:c>
      <x:c r="K23" s="57" t="str">
        <x:v>La baja confianza se estabiliza sin recuperación estructural.</x:v>
      </x:c>
      <x:c r="L23" s="57" t="str">
        <x:v>Magdiel Torres Vanegas</x:v>
      </x:c>
      <x:c r="M23" s="57" t="str">
        <x:v>2026-08-25</x:v>
      </x:c>
      <x:c r="N23" s="57" t="str">
        <x:v>structured_analytical_judgment</x:v>
      </x:c>
    </x:row>
    <x:row r="24" ht="15" hidden="0" customHeight="1">
      <x:c r="A24" s="58" t="str">
        <x:v>continuidad_hibrida</x:v>
      </x:c>
      <x:c r="B24" s="58" t="str">
        <x:v>Continuidad híbrida y estabilización competitiva</x:v>
      </x:c>
      <x:c r="C24" s="58" t="str">
        <x:v>Civil liberties</x:v>
      </x:c>
      <x:c r="D24" s="58" t="str">
        <x:v>Libertades civiles</x:v>
      </x:c>
      <x:c r="E24" s="58" t="str">
        <x:v>shock_2026</x:v>
      </x:c>
      <x:c r="F24" s="59" t="n">
        <x:v>-0.08</x:v>
      </x:c>
      <x:c r="G24" s="59" t="n">
        <x:v>-0.16</x:v>
      </x:c>
      <x:c r="H24" s="59" t="n">
        <x:v>0</x:v>
      </x:c>
      <x:c r="I24" s="58" t="str">
        <x:v>E01;E05</x:v>
      </x:c>
      <x:c r="J24" s="58" t="str">
        <x:v>weak_negative</x:v>
      </x:c>
      <x:c r="K24" s="58" t="str">
        <x:v>Agenda de seguridad introduce tensión inicial sobre libertades.</x:v>
      </x:c>
      <x:c r="L24" s="58" t="str">
        <x:v>Magdiel Torres Vanegas</x:v>
      </x:c>
      <x:c r="M24" s="58" t="str">
        <x:v>2026-08-25</x:v>
      </x:c>
      <x:c r="N24" s="58" t="str">
        <x:v>structured_analytical_judgment</x:v>
      </x:c>
    </x:row>
    <x:row r="25" ht="15" hidden="0" customHeight="1">
      <x:c r="A25" s="57" t="str">
        <x:v>continuidad_hibrida</x:v>
      </x:c>
      <x:c r="B25" s="57" t="str">
        <x:v>Continuidad híbrida y estabilización competitiva</x:v>
      </x:c>
      <x:c r="C25" s="57" t="str">
        <x:v>Civil liberties</x:v>
      </x:c>
      <x:c r="D25" s="57" t="str">
        <x:v>Libertades civiles</x:v>
      </x:c>
      <x:c r="E25" s="57" t="str">
        <x:v>annual_structural_rate</x:v>
      </x:c>
      <x:c r="F25" s="60" t="n">
        <x:v>-0.01</x:v>
      </x:c>
      <x:c r="G25" s="60" t="n">
        <x:v>-0.05</x:v>
      </x:c>
      <x:c r="H25" s="60" t="n">
        <x:v>0.03</x:v>
      </x:c>
      <x:c r="I25" s="57" t="str">
        <x:v>E01;E05</x:v>
      </x:c>
      <x:c r="J25" s="57" t="str">
        <x:v>near_neutral</x:v>
      </x:c>
      <x:c r="K25" s="57" t="str">
        <x:v>Controles parciales evitan una erosión acelerada.</x:v>
      </x:c>
      <x:c r="L25" s="57" t="str">
        <x:v>Magdiel Torres Vanegas</x:v>
      </x:c>
      <x:c r="M25" s="57" t="str">
        <x:v>2026-08-25</x:v>
      </x:c>
      <x:c r="N25" s="57" t="str">
        <x:v>structured_analytical_judgment</x:v>
      </x:c>
    </x:row>
    <x:row r="26" ht="15" hidden="0" customHeight="1">
      <x:c r="A26" s="58" t="str">
        <x:v>deriva_restrictiva</x:v>
      </x:c>
      <x:c r="B26" s="58" t="str">
        <x:v>Deriva restrictiva y securitización</x:v>
      </x:c>
      <x:c r="C26" s="58" t="str">
        <x:v>Electoral process and pluralism</x:v>
      </x:c>
      <x:c r="D26" s="58" t="str">
        <x:v>Proceso electoral y pluralismo</x:v>
      </x:c>
      <x:c r="E26" s="58" t="str">
        <x:v>shock_2026</x:v>
      </x:c>
      <x:c r="F26" s="59" t="n">
        <x:v>-0.08</x:v>
      </x:c>
      <x:c r="G26" s="59" t="n">
        <x:v>-0.18</x:v>
      </x:c>
      <x:c r="H26" s="59" t="n">
        <x:v>0.02</x:v>
      </x:c>
      <x:c r="I26" s="58" t="str">
        <x:v>E01;E02;E03;E06</x:v>
      </x:c>
      <x:c r="J26" s="58" t="str">
        <x:v>negative</x:v>
      </x:c>
      <x:c r="K26" s="58" t="str">
        <x:v>Conflicto de legitimidad reduce la calidad electoral sin eliminar la competencia.</x:v>
      </x:c>
      <x:c r="L26" s="58" t="str">
        <x:v>Magdiel Torres Vanegas</x:v>
      </x:c>
      <x:c r="M26" s="58" t="str">
        <x:v>2026-08-25</x:v>
      </x:c>
      <x:c r="N26" s="58" t="str">
        <x:v>structured_analytical_judgment</x:v>
      </x:c>
    </x:row>
    <x:row r="27" ht="15" hidden="0" customHeight="1">
      <x:c r="A27" s="57" t="str">
        <x:v>deriva_restrictiva</x:v>
      </x:c>
      <x:c r="B27" s="57" t="str">
        <x:v>Deriva restrictiva y securitización</x:v>
      </x:c>
      <x:c r="C27" s="57" t="str">
        <x:v>Electoral process and pluralism</x:v>
      </x:c>
      <x:c r="D27" s="57" t="str">
        <x:v>Proceso electoral y pluralismo</x:v>
      </x:c>
      <x:c r="E27" s="57" t="str">
        <x:v>annual_structural_rate</x:v>
      </x:c>
      <x:c r="F27" s="60" t="n">
        <x:v>-0.04</x:v>
      </x:c>
      <x:c r="G27" s="60" t="n">
        <x:v>-0.08</x:v>
      </x:c>
      <x:c r="H27" s="60" t="n">
        <x:v>0</x:v>
      </x:c>
      <x:c r="I27" s="57" t="str">
        <x:v>E01;E02;E06</x:v>
      </x:c>
      <x:c r="J27" s="57" t="str">
        <x:v>negative</x:v>
      </x:c>
      <x:c r="K27" s="57" t="str">
        <x:v>Erosión gradual de garantías y confianza electoral.</x:v>
      </x:c>
      <x:c r="L27" s="57" t="str">
        <x:v>Magdiel Torres Vanegas</x:v>
      </x:c>
      <x:c r="M27" s="57" t="str">
        <x:v>2026-08-25</x:v>
      </x:c>
      <x:c r="N27" s="57" t="str">
        <x:v>structured_analytical_judgment</x:v>
      </x:c>
    </x:row>
    <x:row r="28" ht="15" hidden="0" customHeight="1">
      <x:c r="A28" s="58" t="str">
        <x:v>deriva_restrictiva</x:v>
      </x:c>
      <x:c r="B28" s="58" t="str">
        <x:v>Deriva restrictiva y securitización</x:v>
      </x:c>
      <x:c r="C28" s="58" t="str">
        <x:v>Functioning of government</x:v>
      </x:c>
      <x:c r="D28" s="58" t="str">
        <x:v>Funcionamiento del gobierno</x:v>
      </x:c>
      <x:c r="E28" s="58" t="str">
        <x:v>shock_2026</x:v>
      </x:c>
      <x:c r="F28" s="59" t="n">
        <x:v>-0.2</x:v>
      </x:c>
      <x:c r="G28" s="59" t="n">
        <x:v>-0.32</x:v>
      </x:c>
      <x:c r="H28" s="59" t="n">
        <x:v>-0.08</x:v>
      </x:c>
      <x:c r="I28" s="58" t="str">
        <x:v>E05;E06;E08;E09</x:v>
      </x:c>
      <x:c r="J28" s="58" t="str">
        <x:v>negative</x:v>
      </x:c>
      <x:c r="K28" s="58" t="str">
        <x:v>Securitización y conflicto Ejecutivo-Congreso deterioran coordinación inicial.</x:v>
      </x:c>
      <x:c r="L28" s="58" t="str">
        <x:v>Magdiel Torres Vanegas</x:v>
      </x:c>
      <x:c r="M28" s="58" t="str">
        <x:v>2026-08-25</x:v>
      </x:c>
      <x:c r="N28" s="58" t="str">
        <x:v>structured_analytical_judgment</x:v>
      </x:c>
    </x:row>
    <x:row r="29" ht="15" hidden="0" customHeight="1">
      <x:c r="A29" s="57" t="str">
        <x:v>deriva_restrictiva</x:v>
      </x:c>
      <x:c r="B29" s="57" t="str">
        <x:v>Deriva restrictiva y securitización</x:v>
      </x:c>
      <x:c r="C29" s="57" t="str">
        <x:v>Functioning of government</x:v>
      </x:c>
      <x:c r="D29" s="57" t="str">
        <x:v>Funcionamiento del gobierno</x:v>
      </x:c>
      <x:c r="E29" s="57" t="str">
        <x:v>annual_structural_rate</x:v>
      </x:c>
      <x:c r="F29" s="60" t="n">
        <x:v>-0.13</x:v>
      </x:c>
      <x:c r="G29" s="60" t="n">
        <x:v>-0.2</x:v>
      </x:c>
      <x:c r="H29" s="60" t="n">
        <x:v>-0.06</x:v>
      </x:c>
      <x:c r="I29" s="57" t="str">
        <x:v>E05;E06;E08</x:v>
      </x:c>
      <x:c r="J29" s="57" t="str">
        <x:v>negative</x:v>
      </x:c>
      <x:c r="K29" s="57" t="str">
        <x:v>Persistencia de excepcionalidad y debilitamiento de controles reducen desempeño institucional.</x:v>
      </x:c>
      <x:c r="L29" s="57" t="str">
        <x:v>Magdiel Torres Vanegas</x:v>
      </x:c>
      <x:c r="M29" s="57" t="str">
        <x:v>2026-08-25</x:v>
      </x:c>
      <x:c r="N29" s="57" t="str">
        <x:v>structured_analytical_judgment</x:v>
      </x:c>
    </x:row>
    <x:row r="30" ht="15" hidden="0" customHeight="1">
      <x:c r="A30" s="58" t="str">
        <x:v>deriva_restrictiva</x:v>
      </x:c>
      <x:c r="B30" s="58" t="str">
        <x:v>Deriva restrictiva y securitización</x:v>
      </x:c>
      <x:c r="C30" s="58" t="str">
        <x:v>Political participation</x:v>
      </x:c>
      <x:c r="D30" s="58" t="str">
        <x:v>Participación política</x:v>
      </x:c>
      <x:c r="E30" s="58" t="str">
        <x:v>shock_2026</x:v>
      </x:c>
      <x:c r="F30" s="59" t="n">
        <x:v>-0.05</x:v>
      </x:c>
      <x:c r="G30" s="59" t="n">
        <x:v>-0.14</x:v>
      </x:c>
      <x:c r="H30" s="59" t="n">
        <x:v>0.04</x:v>
      </x:c>
      <x:c r="I30" s="58" t="str">
        <x:v>E05;E07;E09</x:v>
      </x:c>
      <x:c r="J30" s="58" t="str">
        <x:v>weak_negative</x:v>
      </x:c>
      <x:c r="K30" s="58" t="str">
        <x:v>Restricción y desencanto reducen parcialmente la participación.</x:v>
      </x:c>
      <x:c r="L30" s="58" t="str">
        <x:v>Magdiel Torres Vanegas</x:v>
      </x:c>
      <x:c r="M30" s="58" t="str">
        <x:v>2026-08-25</x:v>
      </x:c>
      <x:c r="N30" s="58" t="str">
        <x:v>structured_analytical_judgment</x:v>
      </x:c>
    </x:row>
    <x:row r="31" ht="15" hidden="0" customHeight="1">
      <x:c r="A31" s="57" t="str">
        <x:v>deriva_restrictiva</x:v>
      </x:c>
      <x:c r="B31" s="57" t="str">
        <x:v>Deriva restrictiva y securitización</x:v>
      </x:c>
      <x:c r="C31" s="57" t="str">
        <x:v>Political participation</x:v>
      </x:c>
      <x:c r="D31" s="57" t="str">
        <x:v>Participación política</x:v>
      </x:c>
      <x:c r="E31" s="57" t="str">
        <x:v>annual_structural_rate</x:v>
      </x:c>
      <x:c r="F31" s="60" t="n">
        <x:v>-0.07</x:v>
      </x:c>
      <x:c r="G31" s="60" t="n">
        <x:v>-0.12</x:v>
      </x:c>
      <x:c r="H31" s="60" t="n">
        <x:v>-0.02</x:v>
      </x:c>
      <x:c r="I31" s="57" t="str">
        <x:v>E05;E07</x:v>
      </x:c>
      <x:c r="J31" s="57" t="str">
        <x:v>negative</x:v>
      </x:c>
      <x:c r="K31" s="57" t="str">
        <x:v>Desmovilización y barreras acumulativas sostienen el descenso.</x:v>
      </x:c>
      <x:c r="L31" s="57" t="str">
        <x:v>Magdiel Torres Vanegas</x:v>
      </x:c>
      <x:c r="M31" s="57" t="str">
        <x:v>2026-08-25</x:v>
      </x:c>
      <x:c r="N31" s="57" t="str">
        <x:v>structured_analytical_judgment</x:v>
      </x:c>
    </x:row>
    <x:row r="32" ht="15" hidden="0" customHeight="1">
      <x:c r="A32" s="58" t="str">
        <x:v>deriva_restrictiva</x:v>
      </x:c>
      <x:c r="B32" s="58" t="str">
        <x:v>Deriva restrictiva y securitización</x:v>
      </x:c>
      <x:c r="C32" s="58" t="str">
        <x:v>Political culture</x:v>
      </x:c>
      <x:c r="D32" s="58" t="str">
        <x:v>Cultura política</x:v>
      </x:c>
      <x:c r="E32" s="58" t="str">
        <x:v>shock_2026</x:v>
      </x:c>
      <x:c r="F32" s="59" t="n">
        <x:v>-0.25</x:v>
      </x:c>
      <x:c r="G32" s="59" t="n">
        <x:v>-0.4</x:v>
      </x:c>
      <x:c r="H32" s="59" t="n">
        <x:v>-0.1</x:v>
      </x:c>
      <x:c r="I32" s="58" t="str">
        <x:v>E04;E06;E08;E09</x:v>
      </x:c>
      <x:c r="J32" s="58" t="str">
        <x:v>negative</x:v>
      </x:c>
      <x:c r="K32" s="58" t="str">
        <x:v>Polarización intensa y baja legitimidad agravan el punto de partida.</x:v>
      </x:c>
      <x:c r="L32" s="58" t="str">
        <x:v>Magdiel Torres Vanegas</x:v>
      </x:c>
      <x:c r="M32" s="58" t="str">
        <x:v>2026-08-25</x:v>
      </x:c>
      <x:c r="N32" s="58" t="str">
        <x:v>structured_analytical_judgment</x:v>
      </x:c>
    </x:row>
    <x:row r="33" ht="15" hidden="0" customHeight="1">
      <x:c r="A33" s="57" t="str">
        <x:v>deriva_restrictiva</x:v>
      </x:c>
      <x:c r="B33" s="57" t="str">
        <x:v>Deriva restrictiva y securitización</x:v>
      </x:c>
      <x:c r="C33" s="57" t="str">
        <x:v>Political culture</x:v>
      </x:c>
      <x:c r="D33" s="57" t="str">
        <x:v>Cultura política</x:v>
      </x:c>
      <x:c r="E33" s="57" t="str">
        <x:v>annual_structural_rate</x:v>
      </x:c>
      <x:c r="F33" s="60" t="n">
        <x:v>-0.13</x:v>
      </x:c>
      <x:c r="G33" s="60" t="n">
        <x:v>-0.21</x:v>
      </x:c>
      <x:c r="H33" s="60" t="n">
        <x:v>-0.05</x:v>
      </x:c>
      <x:c r="I33" s="57" t="str">
        <x:v>E04;E06;E08</x:v>
      </x:c>
      <x:c r="J33" s="57" t="str">
        <x:v>negative</x:v>
      </x:c>
      <x:c r="K33" s="57" t="str">
        <x:v>Persistencia de confrontación deteriora gradualmente la cultura democrática.</x:v>
      </x:c>
      <x:c r="L33" s="57" t="str">
        <x:v>Magdiel Torres Vanegas</x:v>
      </x:c>
      <x:c r="M33" s="57" t="str">
        <x:v>2026-08-25</x:v>
      </x:c>
      <x:c r="N33" s="57" t="str">
        <x:v>structured_analytical_judgment</x:v>
      </x:c>
    </x:row>
    <x:row r="34" ht="15" hidden="0" customHeight="1">
      <x:c r="A34" s="58" t="str">
        <x:v>deriva_restrictiva</x:v>
      </x:c>
      <x:c r="B34" s="58" t="str">
        <x:v>Deriva restrictiva y securitización</x:v>
      </x:c>
      <x:c r="C34" s="58" t="str">
        <x:v>Civil liberties</x:v>
      </x:c>
      <x:c r="D34" s="58" t="str">
        <x:v>Libertades civiles</x:v>
      </x:c>
      <x:c r="E34" s="58" t="str">
        <x:v>shock_2026</x:v>
      </x:c>
      <x:c r="F34" s="59" t="n">
        <x:v>-0.28</x:v>
      </x:c>
      <x:c r="G34" s="59" t="n">
        <x:v>-0.42</x:v>
      </x:c>
      <x:c r="H34" s="59" t="n">
        <x:v>-0.14</x:v>
      </x:c>
      <x:c r="I34" s="58" t="str">
        <x:v>E01;E05;E09</x:v>
      </x:c>
      <x:c r="J34" s="58" t="str">
        <x:v>negative</x:v>
      </x:c>
      <x:c r="K34" s="58" t="str">
        <x:v>Medidas securitarias sin salvaguardas generan el mayor impacto inicial.</x:v>
      </x:c>
      <x:c r="L34" s="58" t="str">
        <x:v>Magdiel Torres Vanegas</x:v>
      </x:c>
      <x:c r="M34" s="58" t="str">
        <x:v>2026-08-25</x:v>
      </x:c>
      <x:c r="N34" s="58" t="str">
        <x:v>structured_analytical_judgment</x:v>
      </x:c>
    </x:row>
    <x:row r="35" ht="15" hidden="0" customHeight="1">
      <x:c r="A35" s="57" t="str">
        <x:v>deriva_restrictiva</x:v>
      </x:c>
      <x:c r="B35" s="57" t="str">
        <x:v>Deriva restrictiva y securitización</x:v>
      </x:c>
      <x:c r="C35" s="57" t="str">
        <x:v>Civil liberties</x:v>
      </x:c>
      <x:c r="D35" s="57" t="str">
        <x:v>Libertades civiles</x:v>
      </x:c>
      <x:c r="E35" s="57" t="str">
        <x:v>annual_structural_rate</x:v>
      </x:c>
      <x:c r="F35" s="60" t="n">
        <x:v>-0.16</x:v>
      </x:c>
      <x:c r="G35" s="60" t="n">
        <x:v>-0.24</x:v>
      </x:c>
      <x:c r="H35" s="60" t="n">
        <x:v>-0.08</x:v>
      </x:c>
      <x:c r="I35" s="57" t="str">
        <x:v>E01;E05;E09</x:v>
      </x:c>
      <x:c r="J35" s="57" t="str">
        <x:v>negative</x:v>
      </x:c>
      <x:c r="K35" s="57" t="str">
        <x:v>Normalización de restricciones acumula deterioro anual.</x:v>
      </x:c>
      <x:c r="L35" s="57" t="str">
        <x:v>Magdiel Torres Vanegas</x:v>
      </x:c>
      <x:c r="M35" s="57" t="str">
        <x:v>2026-08-25</x:v>
      </x:c>
      <x:c r="N35" s="57" t="str">
        <x:v>structured_analytical_judgment</x:v>
      </x:c>
    </x:row>
  </x:sheetData>
  <x:mergeCells>
    <x:mergeCell ref="A1:N1"/>
    <x:mergeCell ref="A2:N2"/>
  </x:mergeCells>
  <x:pageMargins left="0.7" right="0.7" top="0.75" bottom="0.75" header="0.3" footer="0.3"/>
  <x:tableParts count="1">
    <x:tablePart xmlns:r="http://schemas.openxmlformats.org/officeDocument/2006/relationships" r:id="R0e418f85a5a240b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44" hidden="0" customWidth="1"/>
    <x:col min="5" max="5" width="44" hidden="0" customWidth="1"/>
    <x:col min="6" max="6" width="44" hidden="0" customWidth="1"/>
    <x:col min="7" max="7" width="44" hidden="0" customWidth="1"/>
    <x:col min="8" max="8" width="44" hidden="0" customWidth="1"/>
    <x:col min="9" max="9" width="34" hidden="0" customWidth="1"/>
    <x:col min="10" max="10" width="34" hidden="0" customWidth="1"/>
  </x:cols>
  <x:sheetData>
    <x:row r="1" ht="19.200000762939453" hidden="0" customHeight="1">
      <x:c r="A1" s="3" t="str">
        <x:v>Registro de evidencia postelectoral 2026</x:v>
      </x:c>
      <x:c r="B1" s="3" t="str">
        <x:v>Registro de evidencia postelectoral 2026</x:v>
      </x:c>
      <x:c r="C1" s="3" t="str">
        <x:v>Registro de evidencia postelectoral 2026</x:v>
      </x:c>
      <x:c r="D1" s="3" t="str">
        <x:v>Registro de evidencia postelectoral 2026</x:v>
      </x:c>
      <x:c r="E1" s="3" t="str">
        <x:v>Registro de evidencia postelectoral 2026</x:v>
      </x:c>
      <x:c r="F1" s="3" t="str">
        <x:v>Registro de evidencia postelectoral 2026</x:v>
      </x:c>
      <x:c r="G1" s="3" t="str">
        <x:v>Registro de evidencia postelectoral 2026</x:v>
      </x:c>
      <x:c r="H1" s="3" t="str">
        <x:v>Registro de evidencia postelectoral 2026</x:v>
      </x:c>
      <x:c r="I1" s="3" t="str">
        <x:v>Registro de evidencia postelectoral 2026</x:v>
      </x:c>
      <x:c r="J1" s="3" t="str">
        <x:v>Registro de evidencia postelectoral 2026</x:v>
      </x:c>
    </x:row>
    <x:row r="2" ht="15" hidden="0" customHeight="1">
      <x:c r="A2" s="7" t="str">
        <x:v>La prioridad de fuente es categórica; computational_use=false impide interpretar el registro como ponderación numérica del modelo.</x:v>
      </x:c>
      <x:c r="B2" s="7" t="str">
        <x:v>La prioridad de fuente es categórica; computational_use=false impide interpretar el registro como ponderación numérica del modelo.</x:v>
      </x:c>
      <x:c r="C2" s="7" t="str">
        <x:v>La prioridad de fuente es categórica; computational_use=false impide interpretar el registro como ponderación numérica del modelo.</x:v>
      </x:c>
      <x:c r="D2" s="7" t="str">
        <x:v>La prioridad de fuente es categórica; computational_use=false impide interpretar el registro como ponderación numérica del modelo.</x:v>
      </x:c>
      <x:c r="E2" s="7" t="str">
        <x:v>La prioridad de fuente es categórica; computational_use=false impide interpretar el registro como ponderación numérica del modelo.</x:v>
      </x:c>
      <x:c r="F2" s="7" t="str">
        <x:v>La prioridad de fuente es categórica; computational_use=false impide interpretar el registro como ponderación numérica del modelo.</x:v>
      </x:c>
      <x:c r="G2" s="7" t="str">
        <x:v>La prioridad de fuente es categórica; computational_use=false impide interpretar el registro como ponderación numérica del modelo.</x:v>
      </x:c>
      <x:c r="H2" s="7" t="str">
        <x:v>La prioridad de fuente es categórica; computational_use=false impide interpretar el registro como ponderación numérica del modelo.</x:v>
      </x:c>
      <x:c r="I2" s="7" t="str">
        <x:v>La prioridad de fuente es categórica; computational_use=false impide interpretar el registro como ponderación numérica del modelo.</x:v>
      </x:c>
      <x:c r="J2" s="7" t="str">
        <x:v>La prioridad de fuente es categórica; computational_use=false impide interpretar el registro como ponderación numérica del modelo.</x:v>
      </x:c>
    </x:row>
    <x:row r="3" ht="15" hidden="0" customHeight="1">
      <x:c r="A3" s="8"/>
      <x:c r="B3" s="8"/>
      <x:c r="C3" s="8"/>
      <x:c r="D3" s="8"/>
      <x:c r="E3" s="8"/>
      <x:c r="F3" s="8"/>
      <x:c r="G3" s="8"/>
      <x:c r="H3" s="8"/>
      <x:c r="I3" s="8"/>
      <x:c r="J3" s="8"/>
    </x:row>
    <x:row r="4"/>
    <x:row r="5" ht="15" hidden="0" customHeight="1">
      <x:c r="A5" s="14" t="str">
        <x:v>id</x:v>
      </x:c>
      <x:c r="B5" s="14" t="str">
        <x:v>date</x:v>
      </x:c>
      <x:c r="C5" s="14" t="str">
        <x:v>type</x:v>
      </x:c>
      <x:c r="D5" s="14" t="str">
        <x:v>source</x:v>
      </x:c>
      <x:c r="E5" s="14" t="str">
        <x:v>title</x:v>
      </x:c>
      <x:c r="F5" s="14" t="str">
        <x:v>signal</x:v>
      </x:c>
      <x:c r="G5" s="14" t="str">
        <x:v>model_dimensions</x:v>
      </x:c>
      <x:c r="H5" s="14" t="str">
        <x:v>url</x:v>
      </x:c>
      <x:c r="I5" s="14" t="str">
        <x:v>source_priority</x:v>
      </x:c>
      <x:c r="J5" s="14" t="str">
        <x:v>computational_use</x:v>
      </x:c>
    </x:row>
    <x:row r="6" ht="15" hidden="0" customHeight="1">
      <x:c r="A6" s="58" t="str">
        <x:v>E01</x:v>
      </x:c>
      <x:c r="B6" s="58" t="str">
        <x:v>2026-08-17</x:v>
      </x:c>
      <x:c r="C6" s="58" t="str">
        <x:v>international_observation_final</x:v>
      </x:c>
      <x:c r="D6" s="58" t="str">
        <x:v>European Union Election Observation Mission</x:v>
      </x:c>
      <x:c r="E6" s="58" t="str">
        <x:v>PERU 2026: Final Report - General elections and Presidential run-off</x:v>
      </x:c>
      <x:c r="F6" s="58" t="str">
        <x:v>Final post-electoral assessment and recommendations; used as the strongest post-election institutional evidence input.</x:v>
      </x:c>
      <x:c r="G6" s="58" t="str">
        <x:v>electoral_integrity;governance;rights</x:v>
      </x:c>
      <x:c r="H6" s="58" t="str">
        <x:v>https://www.eeas.europa.eu/eom-peru-2026/peru-2026-final-report-general-elections-and-presidential-run_en</x:v>
      </x:c>
      <x:c r="I6" s="58" t="str">
        <x:v>primary_observation</x:v>
      </x:c>
      <x:c r="J6" s="89" t="b">
        <x:v>0</x:v>
      </x:c>
    </x:row>
    <x:row r="7" ht="15" hidden="0" customHeight="1">
      <x:c r="A7" s="57" t="str">
        <x:v>E02</x:v>
      </x:c>
      <x:c r="B7" s="57" t="str">
        <x:v>2026-07-08</x:v>
      </x:c>
      <x:c r="C7" s="57" t="str">
        <x:v>international_observation</x:v>
      </x:c>
      <x:c r="D7" s="57" t="str">
        <x:v>Organization of American States</x:v>
      </x:c>
      <x:c r="E7" s="57" t="str">
        <x:v>Segundo Informe de la Misión de Observación Electoral de la OEA en Perú para la Segunda Elección Presidencial 2026</x:v>
      </x:c>
      <x:c r="F7" s="57" t="str">
        <x:v>Documents the post-electoral review phase and institutional guarantees/risks after the runoff.</x:v>
      </x:c>
      <x:c r="G7" s="57" t="str">
        <x:v>electoral_integrity;legitimacy</x:v>
      </x:c>
      <x:c r="H7" s="57" t="str">
        <x:v>https://www.oas.org/es/centro_noticias/comunicado_prensa.asp?sCodigo=D-017%2F26</x:v>
      </x:c>
      <x:c r="I7" s="57" t="str">
        <x:v>primary_observation</x:v>
      </x:c>
      <x:c r="J7" s="88" t="b">
        <x:v>0</x:v>
      </x:c>
    </x:row>
    <x:row r="8" ht="15" hidden="0" customHeight="1">
      <x:c r="A8" s="58" t="str">
        <x:v>E03</x:v>
      </x:c>
      <x:c r="B8" s="58" t="str">
        <x:v>2026-07-03</x:v>
      </x:c>
      <x:c r="C8" s="58" t="str">
        <x:v>official_result</x:v>
      </x:c>
      <x:c r="D8" s="58" t="str">
        <x:v>Jurado Nacional de Elecciones</x:v>
      </x:c>
      <x:c r="E8" s="58" t="str">
        <x:v>Elecciones Generales 2026 - proclamación y credencial presidencial</x:v>
      </x:c>
      <x:c r="F8" s="58" t="str">
        <x:v>Official proclamation of Keiko Fujimori Higuchi as president-elect; resolves the election outcome used in scenario conditioning.</x:v>
      </x:c>
      <x:c r="G8" s="58" t="str">
        <x:v>electoral_outcome;legitimacy</x:v>
      </x:c>
      <x:c r="H8" s="58" t="str">
        <x:v>https://portal.jne.gob.pe/portal/Pagina/Ver/979/page/Elecciones-Generales-2026</x:v>
      </x:c>
      <x:c r="I8" s="58" t="str">
        <x:v>primary_official</x:v>
      </x:c>
      <x:c r="J8" s="89" t="b">
        <x:v>0</x:v>
      </x:c>
    </x:row>
    <x:row r="9" ht="15" hidden="0" customHeight="1">
      <x:c r="A9" s="57" t="str">
        <x:v>E04</x:v>
      </x:c>
      <x:c r="B9" s="57" t="str">
        <x:v>2026-07-03</x:v>
      </x:c>
      <x:c r="C9" s="57" t="str">
        <x:v>news_wire</x:v>
      </x:c>
      <x:c r="D9" s="57" t="str">
        <x:v>Reuters</x:v>
      </x:c>
      <x:c r="E9" s="57" t="str">
        <x:v>Keiko Fujimori declared winner of Peru presidential race</x:v>
      </x:c>
      <x:c r="F9" s="57" t="str">
        <x:v>Runoff result 50.135% vs 49.865%, roughly 50,000-vote margin; highlights deep polarization and fragmented Congress.</x:v>
      </x:c>
      <x:c r="G9" s="57" t="str">
        <x:v>polarization;governability;legitimacy</x:v>
      </x:c>
      <x:c r="H9" s="57" t="str">
        <x:v>https://www.reuters.com/world/americas/keiko-fujimori-declared-winner-peru-presidential-race-2026-07-03/</x:v>
      </x:c>
      <x:c r="I9" s="57" t="str">
        <x:v>secondary_context</x:v>
      </x:c>
      <x:c r="J9" s="88" t="b">
        <x:v>0</x:v>
      </x:c>
    </x:row>
    <x:row r="10" ht="15" hidden="0" customHeight="1">
      <x:c r="A10" s="58" t="str">
        <x:v>E05</x:v>
      </x:c>
      <x:c r="B10" s="58" t="str">
        <x:v>2026-07-28</x:v>
      </x:c>
      <x:c r="C10" s="58" t="str">
        <x:v>post_inauguration_news</x:v>
      </x:c>
      <x:c r="D10" s="58" t="str">
        <x:v>Associated Press</x:v>
      </x:c>
      <x:c r="E10" s="58" t="str">
        <x:v>Keiko Fujimori is inaugurated as Peru president following a narrow election victory</x:v>
      </x:c>
      <x:c r="F10" s="58" t="str">
        <x:v>Post-inauguration evidence on security agenda and bicameral legislative support constraints/opportunities.</x:v>
      </x:c>
      <x:c r="G10" s="58" t="str">
        <x:v>security;governability;rights</x:v>
      </x:c>
      <x:c r="H10" s="58" t="str">
        <x:v>https://apnews.com/article/84d08998b1629c95f0383d7b5a7a7f6b</x:v>
      </x:c>
      <x:c r="I10" s="58" t="str">
        <x:v>secondary_context</x:v>
      </x:c>
      <x:c r="J10" s="89" t="b">
        <x:v>0</x:v>
      </x:c>
    </x:row>
    <x:row r="11" ht="15" hidden="0" customHeight="1">
      <x:c r="A11" s="57" t="str">
        <x:v>E06</x:v>
      </x:c>
      <x:c r="B11" s="57" t="str">
        <x:v>2026-06-24</x:v>
      </x:c>
      <x:c r="C11" s="57" t="str">
        <x:v>expert_analysis</x:v>
      </x:c>
      <x:c r="D11" s="57" t="str">
        <x:v>European Center for Populism Studies</x:v>
      </x:c>
      <x:c r="E11" s="57" t="str">
        <x:v>Prof. Carrión: I Am Very Pessimistic About the Prospects for Peruvian Democracy</x:v>
      </x:c>
      <x:c r="F11" s="57" t="str">
        <x:v>Expert post-runoff diagnosis of representation weakness, institutional distrust, fragmentation and legitimacy erosion.</x:v>
      </x:c>
      <x:c r="G11" s="57" t="str">
        <x:v>political_culture;governability;polarization</x:v>
      </x:c>
      <x:c r="H11" s="57" t="str">
        <x:v>https://www.populismstudies.org/prof-carrion-i-am-very-pessimistic-about-the-prospects-for-peruvian-democracy/</x:v>
      </x:c>
      <x:c r="I11" s="57" t="str">
        <x:v>expert_context</x:v>
      </x:c>
      <x:c r="J11" s="88" t="b">
        <x:v>0</x:v>
      </x:c>
    </x:row>
    <x:row r="12" ht="15" hidden="0" customHeight="1">
      <x:c r="A12" s="58" t="str">
        <x:v>E07</x:v>
      </x:c>
      <x:c r="B12" s="58" t="str">
        <x:v>2026-06-01</x:v>
      </x:c>
      <x:c r="C12" s="58" t="str">
        <x:v>working_paper</x:v>
      </x:c>
      <x:c r="D12" s="58" t="str">
        <x:v>arXiv / authors</x:v>
      </x:c>
      <x:c r="E12" s="58" t="str">
        <x:v>Information and voting: Evidence from Peru's 2026 presidential election</x:v>
      </x:c>
      <x:c r="F12" s="58" t="str">
        <x:v>Natural experiment on information effects in a fragmented presidential election; informs participation/information-system sensitivity.</x:v>
      </x:c>
      <x:c r="G12" s="58" t="str">
        <x:v>participation;electoral_information</x:v>
      </x:c>
      <x:c r="H12" s="58" t="str">
        <x:v>https://arxiv.org/abs/2606.01687</x:v>
      </x:c>
      <x:c r="I12" s="58" t="str">
        <x:v>academic_working_paper</x:v>
      </x:c>
      <x:c r="J12" s="89" t="b">
        <x:v>0</x:v>
      </x:c>
    </x:row>
    <x:row r="13" ht="15" hidden="0" customHeight="1">
      <x:c r="A13" s="57" t="str">
        <x:v>E08</x:v>
      </x:c>
      <x:c r="B13" s="57" t="str">
        <x:v>2026-01-01</x:v>
      </x:c>
      <x:c r="C13" s="57" t="str">
        <x:v>country_assessment</x:v>
      </x:c>
      <x:c r="D13" s="57" t="str">
        <x:v>Bertelsmann Transformation Index</x:v>
      </x:c>
      <x:c r="E13" s="57" t="str">
        <x:v>BTI 2026 Peru Country Report</x:v>
      </x:c>
      <x:c r="F13" s="57" t="str">
        <x:v>Structural baseline: weak parties, short-term political calculations and fragile commitment to democratic institutions.</x:v>
      </x:c>
      <x:c r="G13" s="57" t="str">
        <x:v>governance;political_culture;rule_of_law</x:v>
      </x:c>
      <x:c r="H13" s="57" t="str">
        <x:v>https://bti-project.org/en/reports/country-report/PER</x:v>
      </x:c>
      <x:c r="I13" s="57" t="str">
        <x:v>institutional_assessment</x:v>
      </x:c>
      <x:c r="J13" s="88" t="b">
        <x:v>0</x:v>
      </x:c>
    </x:row>
    <x:row r="14" ht="15" hidden="0" customHeight="1">
      <x:c r="A14" s="58" t="str">
        <x:v>E09</x:v>
      </x:c>
      <x:c r="B14" s="58" t="str">
        <x:v>2026-01-01</x:v>
      </x:c>
      <x:c r="C14" s="58" t="str">
        <x:v>official_index_report</x:v>
      </x:c>
      <x:c r="D14" s="58" t="str">
        <x:v>Economist Intelligence Unit</x:v>
      </x:c>
      <x:c r="E14" s="58" t="str">
        <x:v>Democracy Index 2025: Democracy stabilises after eight years of decline</x:v>
      </x:c>
      <x:c r="F14" s="58" t="str">
        <x:v>2025 empirical anchor; regional recovery but EIU outlook anticipated a likely right-wing populist Peruvian government and hard-line security policy.</x:v>
      </x:c>
      <x:c r="G14" s="58" t="str">
        <x:v>overall;security;regional_context</x:v>
      </x:c>
      <x:c r="H14" s="58" t="str">
        <x:v>https://www.eiu.com/n/campaigns/democracy-index-2025/</x:v>
      </x:c>
      <x:c r="I14" s="58" t="str">
        <x:v>primary_index_report</x:v>
      </x:c>
      <x:c r="J14" s="89" t="b">
        <x:v>0</x:v>
      </x:c>
    </x:row>
  </x:sheetData>
  <x:mergeCells>
    <x:mergeCell ref="A1:J1"/>
    <x:mergeCell ref="A2:J2"/>
  </x:mergeCells>
  <x:pageMargins left="0.7" right="0.7" top="0.75" bottom="0.75" header="0.3" footer="0.3"/>
  <x:tableParts count="1">
    <x:tablePart xmlns:r="http://schemas.openxmlformats.org/officeDocument/2006/relationships" r:id="Rc5804be8a750449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6" hidden="0" customWidth="1"/>
    <x:col min="2" max="2" width="46" hidden="0" customWidth="1"/>
    <x:col min="3" max="3" width="44" hidden="0" customWidth="1"/>
    <x:col min="4" max="4" width="44" hidden="0" customWidth="1"/>
  </x:cols>
  <x:sheetData>
    <x:row r="1" ht="19.200000762939453" hidden="0" customHeight="1">
      <x:c r="A1" s="3" t="str">
        <x:v>Registro de estados epistemológicos</x:v>
      </x:c>
      <x:c r="B1" s="3" t="str">
        <x:v>Registro de estados epistemológicos</x:v>
      </x:c>
      <x:c r="C1" s="3" t="str">
        <x:v>Registro de estados epistemológicos</x:v>
      </x:c>
      <x:c r="D1" s="3" t="str">
        <x:v>Registro de estados epistemológicos</x:v>
      </x:c>
    </x:row>
    <x:row r="2" ht="15" hidden="0" customHeight="1">
      <x:c r="A2" s="7" t="str">
        <x:v>Vocabulario controlado que separa observación publicada, agregado secundario, ancla latente, ensamble y simulación prospectiva.</x:v>
      </x:c>
      <x:c r="B2" s="7" t="str">
        <x:v>Vocabulario controlado que separa observación publicada, agregado secundario, ancla latente, ensamble y simulación prospectiva.</x:v>
      </x:c>
      <x:c r="C2" s="7" t="str">
        <x:v>Vocabulario controlado que separa observación publicada, agregado secundario, ancla latente, ensamble y simulación prospectiva.</x:v>
      </x:c>
      <x:c r="D2" s="7" t="str">
        <x:v>Vocabulario controlado que separa observación publicada, agregado secundario, ancla latente, ensamble y simulación prospectiva.</x:v>
      </x:c>
    </x:row>
    <x:row r="3" ht="15" hidden="0" customHeight="1">
      <x:c r="A3" s="8"/>
      <x:c r="B3" s="8"/>
      <x:c r="C3" s="8"/>
      <x:c r="D3" s="8"/>
    </x:row>
    <x:row r="4"/>
    <x:row r="5" ht="15" hidden="0" customHeight="1">
      <x:c r="A5" s="14" t="str">
        <x:v>status_id</x:v>
      </x:c>
      <x:c r="B5" s="14" t="str">
        <x:v>label_es</x:v>
      </x:c>
      <x:c r="C5" s="14" t="str">
        <x:v>definition</x:v>
      </x:c>
      <x:c r="D5" s="14" t="str">
        <x:v>allowed_use</x:v>
      </x:c>
    </x:row>
    <x:row r="6" ht="15" hidden="0" customHeight="1">
      <x:c r="A6" s="58" t="str">
        <x:v>observed_EIU</x:v>
      </x:c>
      <x:c r="B6" s="58" t="str">
        <x:v>Observado en edición EIU</x:v>
      </x:c>
      <x:c r="C6" s="58" t="str">
        <x:v>Identificador heredado para valores publicados en ediciones o tablas EIU</x:v>
      </x:c>
      <x:c r="D6" s="58" t="str">
        <x:v>Citar como dato observado con edición y localización</x:v>
      </x:c>
    </x:row>
    <x:row r="7" ht="15" hidden="0" customHeight="1">
      <x:c r="A7" s="57" t="str">
        <x:v>official_source_observed</x:v>
      </x:c>
      <x:c r="B7" s="57" t="str">
        <x:v>Observado en fuente oficial</x:v>
      </x:c>
      <x:c r="C7" s="57" t="str">
        <x:v>Valor publicado directamente en una edición o tabla oficial de la fuente</x:v>
      </x:c>
      <x:c r="D7" s="57" t="str">
        <x:v>Citar como dato observado con edición y localización</x:v>
      </x:c>
    </x:row>
    <x:row r="8" ht="15" hidden="0" customHeight="1">
      <x:c r="A8" s="58" t="str">
        <x:v>secondary_reported_aggregate</x:v>
      </x:c>
      <x:c r="B8" s="58" t="str">
        <x:v>Agregado reportado secundariamente</x:v>
      </x:c>
      <x:c r="C8" s="58" t="str">
        <x:v>Valor atribuido a la fuente primaria y reproducido en una tabla secundaria; no sustituye la tabla oficial</x:v>
      </x:c>
      <x:c r="D8" s="58" t="str">
        <x:v>Citar con la fuente secundaria y explicitar la limitación</x:v>
      </x:c>
    </x:row>
    <x:row r="9" ht="15" hidden="0" customHeight="1">
      <x:c r="A9" s="57" t="str">
        <x:v>modeled_latent_central</x:v>
      </x:c>
      <x:c r="B9" s="57" t="str">
        <x:v>Centro de ancla latente modelada</x:v>
      </x:c>
      <x:c r="C9" s="57" t="str">
        <x:v>Asignación central construida para distribuir un agregado conocido entre dimensiones no publicadas</x:v>
      </x:c>
      <x:c r="D9" s="57" t="str">
        <x:v>Usar únicamente como centro del modelo y nunca como subpuntaje oficial</x:v>
      </x:c>
    </x:row>
    <x:row r="10" ht="15" hidden="0" customHeight="1">
      <x:c r="A10" s="58" t="str">
        <x:v>modeled_latent_ensemble</x:v>
      </x:c>
      <x:c r="B10" s="58" t="str">
        <x:v>Conjunto de anclas latentes admisibles</x:v>
      </x:c>
      <x:c r="C10" s="58" t="str">
        <x:v>Distribuciones dimensionales compatibles con el agregado y las restricciones documentadas</x:v>
      </x:c>
      <x:c r="D10" s="58" t="str">
        <x:v>Propagar como incertidumbre epistemológica</x:v>
      </x:c>
    </x:row>
    <x:row r="11" ht="15" hidden="0" customHeight="1">
      <x:c r="A11" s="57" t="str">
        <x:v>simulated_scenario</x:v>
      </x:c>
      <x:c r="B11" s="57" t="str">
        <x:v>Simulado bajo escenario</x:v>
      </x:c>
      <x:c r="C11" s="57" t="str">
        <x:v>Resultado de supuestos y perturbaciones explícitas</x:v>
      </x:c>
      <x:c r="D11" s="57" t="str">
        <x:v>Interpretar como trayectoria condicional y no como probabilidad de ocurrencia</x:v>
      </x:c>
    </x:row>
  </x:sheetData>
  <x:mergeCells>
    <x:mergeCell ref="A1:D1"/>
    <x:mergeCell ref="A2:D2"/>
  </x:mergeCells>
  <x:pageMargins left="0.7" right="0.7" top="0.75" bottom="0.75" header="0.3" footer="0.3"/>
  <x:tableParts count="1">
    <x:tablePart xmlns:r="http://schemas.openxmlformats.org/officeDocument/2006/relationships" r:id="Rfaffc6717c384db7"/>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54" hidden="0" customWidth="1"/>
    <x:col min="2" max="2" width="44" hidden="0" customWidth="1"/>
    <x:col min="3" max="3" width="44" hidden="0" customWidth="1"/>
    <x:col min="4" max="4" width="44" hidden="0" customWidth="1"/>
  </x:cols>
  <x:sheetData>
    <x:row r="1" ht="19.200000762939453" hidden="0" customHeight="1">
      <x:c r="A1" s="3" t="str">
        <x:v>Fórmulas y reglas del modelo v2.1</x:v>
      </x:c>
      <x:c r="B1" s="3" t="str">
        <x:v>Fórmulas y reglas del modelo v2.1</x:v>
      </x:c>
      <x:c r="C1" s="3" t="str">
        <x:v>Fórmulas y reglas del modelo v2.1</x:v>
      </x:c>
      <x:c r="D1" s="3" t="str">
        <x:v>Fórmulas y reglas del modelo v2.1</x:v>
      </x:c>
    </x:row>
    <x:row r="2" ht="15" hidden="0" customHeight="1">
      <x:c r="A2" s="7" t="str">
        <x:v>Resumen legible de las fórmulas computacionales. La especificación completa y las limitaciones están en docs/METODOLOGIA.md.</x:v>
      </x:c>
      <x:c r="B2" s="7" t="str">
        <x:v>Resumen legible de las fórmulas computacionales. La especificación completa y las limitaciones están en docs/METODOLOGIA.md.</x:v>
      </x:c>
      <x:c r="C2" s="7" t="str">
        <x:v>Resumen legible de las fórmulas computacionales. La especificación completa y las limitaciones están en docs/METODOLOGIA.md.</x:v>
      </x:c>
      <x:c r="D2" s="7" t="str">
        <x:v>Resumen legible de las fórmulas computacionales. La especificación completa y las limitaciones están en docs/METODOLOGIA.md.</x:v>
      </x:c>
    </x:row>
    <x:row r="3" ht="15" hidden="0" customHeight="1">
      <x:c r="A3" s="8"/>
      <x:c r="B3" s="8"/>
      <x:c r="C3" s="8"/>
      <x:c r="D3" s="8"/>
    </x:row>
    <x:row r="4"/>
    <x:row r="5" ht="15" hidden="0" customHeight="1">
      <x:c r="A5" s="14" t="str">
        <x:v>formula_id</x:v>
      </x:c>
      <x:c r="B5" s="14" t="str">
        <x:v>component</x:v>
      </x:c>
      <x:c r="C5" s="14" t="str">
        <x:v>formula</x:v>
      </x:c>
      <x:c r="D5" s="14" t="str">
        <x:v>interpretation</x:v>
      </x:c>
    </x:row>
    <x:row r="6" ht="15" hidden="0" customHeight="1">
      <x:c r="A6" s="58" t="str">
        <x:v>M1</x:v>
      </x:c>
      <x:c r="B6" s="58" t="str">
        <x:v>Fixed 2025 aggregate</x:v>
      </x:c>
      <x:c r="C6" s="58" t="str">
        <x:v>mean_i(x_i,2025)=5.88</x:v>
      </x:c>
      <x:c r="D6" s="58" t="str">
        <x:v>The secondary-reported aggregate is fixed while dimensional composition remains latent.</x:v>
      </x:c>
    </x:row>
    <x:row r="7" ht="15" hidden="0" customHeight="1">
      <x:c r="A7" s="57" t="str">
        <x:v>M2</x:v>
      </x:c>
      <x:c r="B7" s="57" t="str">
        <x:v>Latent anchor ensemble</x:v>
      </x:c>
      <x:c r="C7" s="57" t="str">
        <x:v>x_2025 = central_anchor + zero_sum_truncated_perturbation</x:v>
      </x:c>
      <x:c r="D7" s="57" t="str">
        <x:v>Every admissible vector averages exactly 5.88 and stays within documented bounds.</x:v>
      </x:c>
    </x:row>
    <x:row r="8" ht="15" hidden="0" customHeight="1">
      <x:c r="A8" s="58" t="str">
        <x:v>M3</x:v>
      </x:c>
      <x:c r="B8" s="58" t="str">
        <x:v>2026 scenario shock</x:v>
      </x:c>
      <x:c r="C8" s="58" t="str">
        <x:v>x_i,2026=clip(x_i,2025+shock_i,s+epsilon_i,2026,0,10)</x:v>
      </x:c>
      <x:c r="D8" s="58" t="str">
        <x:v>Shock is sampled from a bounded triangular judgement range; epsilon is residual sensitivity.</x:v>
      </x:c>
    </x:row>
    <x:row r="9" ht="15" hidden="0" customHeight="1">
      <x:c r="A9" s="57" t="str">
        <x:v>M4</x:v>
      </x:c>
      <x:c r="B9" s="57" t="str">
        <x:v>2027-2030 structural path</x:v>
      </x:c>
      <x:c r="C9" s="57" t="str">
        <x:v>x_i,t=clip(x_i,t-1+rate_i,s*decay_t*scale+epsilon_i,t,0,10)</x:v>
      </x:c>
      <x:c r="D9" s="57" t="str">
        <x:v>Rate and scale are bounded structured assumptions with deterministic decay.</x:v>
      </x:c>
    </x:row>
    <x:row r="10" ht="15" hidden="0" customHeight="1">
      <x:c r="A10" s="58" t="str">
        <x:v>M5</x:v>
      </x:c>
      <x:c r="B10" s="58" t="str">
        <x:v>Overall score</x:v>
      </x:c>
      <x:c r="C10" s="58" t="str">
        <x:v>D_t=mean_i(x_i,t)</x:v>
      </x:c>
      <x:c r="D10" s="58" t="str">
        <x:v>Simple average of the five modeled dimensions.</x:v>
      </x:c>
    </x:row>
    <x:row r="11" ht="15" hidden="0" customHeight="1">
      <x:c r="A11" s="57" t="str">
        <x:v>M6</x:v>
      </x:c>
      <x:c r="B11" s="57" t="str">
        <x:v>Regime threshold</x:v>
      </x:c>
      <x:c r="C11" s="57" t="str">
        <x:v>&lt;=4 authoritarian; &gt;4 to &lt;=6 hybrid; &gt;6 to &lt;=8 flawed; &gt;8 full</x:v>
      </x:c>
      <x:c r="D11" s="57" t="str">
        <x:v>Classification is applied to the central deterministic score only.</x:v>
      </x:c>
    </x:row>
    <x:row r="12" ht="15" hidden="0" customHeight="1">
      <x:c r="A12" s="58" t="str">
        <x:v>M7</x:v>
      </x:c>
      <x:c r="B12" s="58" t="str">
        <x:v>Residual sigma</x:v>
      </x:c>
      <x:c r="C12" s="58" t="str">
        <x:v>sigma_i=clip(0.25*sd(delta x_i,2020-2024),0.04,0.20)</x:v>
      </x:c>
      <x:c r="D12" s="58" t="str">
        <x:v>Common residual law across all scenarios.</x:v>
      </x:c>
    </x:row>
    <x:row r="13" ht="15" hidden="0" customHeight="1">
      <x:c r="A13" s="57" t="str">
        <x:v>M8</x:v>
      </x:c>
      <x:c r="B13" s="57" t="str">
        <x:v>Residual correlation</x:v>
      </x:c>
      <x:c r="C13" s="57" t="str">
        <x:v>epsilon_i=sigma_i*(sqrt(rho)*z_common+sqrt(1-rho)*z_i); rho~Tri(0.0,0.3,0.6)</x:v>
      </x:c>
      <x:c r="D13" s="57" t="str">
        <x:v>Sensitivity to plausible positive cross-dimensional dependence without estimating covariance from four changes.</x:v>
      </x:c>
    </x:row>
    <x:row r="14" ht="15" hidden="0" customHeight="1">
      <x:c r="A14" s="58" t="str">
        <x:v>M9</x:v>
      </x:c>
      <x:c r="B14" s="58" t="str">
        <x:v>Parameter uncertainty</x:v>
      </x:c>
      <x:c r="C14" s="58" t="str">
        <x:v>shock and rate ~ Tri(plausible_low,central,plausible_high)</x:v>
      </x:c>
      <x:c r="D14" s="58" t="str">
        <x:v>Ranges come from the auditable parameter elicitation matrix and are not causal estimates.</x:v>
      </x:c>
    </x:row>
  </x:sheetData>
  <x:mergeCells>
    <x:mergeCell ref="A1:D1"/>
    <x:mergeCell ref="A2:D2"/>
  </x:mergeCells>
  <x:pageMargins left="0.7" right="0.7" top="0.75" bottom="0.75" header="0.3" footer="0.3"/>
  <x:tableParts count="1">
    <x:tablePart xmlns:r="http://schemas.openxmlformats.org/officeDocument/2006/relationships" r:id="R6f7b627f47e4414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8" hidden="0" customWidth="1"/>
    <x:col min="4" max="4" width="44" hidden="0" customWidth="1"/>
  </x:cols>
  <x:sheetData>
    <x:row r="1" ht="19.200000762939453" hidden="0" customHeight="1">
      <x:c r="A1" s="3" t="str">
        <x:v>Diccionario de datos</x:v>
      </x:c>
      <x:c r="B1" s="3" t="str">
        <x:v>Diccionario de datos</x:v>
      </x:c>
      <x:c r="C1" s="3" t="str">
        <x:v>Diccionario de datos</x:v>
      </x:c>
      <x:c r="D1" s="3" t="str">
        <x:v>Diccionario de datos</x:v>
      </x:c>
    </x:row>
    <x:row r="2" ht="15" hidden="0" customHeight="1">
      <x:c r="A2" s="7" t="str">
        <x:v>Campos, tipos y descripciones de los archivos tabulares que sostienen el visor y la auditoría científica.</x:v>
      </x:c>
      <x:c r="B2" s="7" t="str">
        <x:v>Campos, tipos y descripciones de los archivos tabulares que sostienen el visor y la auditoría científica.</x:v>
      </x:c>
      <x:c r="C2" s="7" t="str">
        <x:v>Campos, tipos y descripciones de los archivos tabulares que sostienen el visor y la auditoría científica.</x:v>
      </x:c>
      <x:c r="D2" s="7" t="str">
        <x:v>Campos, tipos y descripciones de los archivos tabulares que sostienen el visor y la auditoría científica.</x:v>
      </x:c>
    </x:row>
    <x:row r="3" ht="15" hidden="0" customHeight="1">
      <x:c r="A3" s="8"/>
      <x:c r="B3" s="8"/>
      <x:c r="C3" s="8"/>
      <x:c r="D3" s="8"/>
    </x:row>
    <x:row r="4"/>
    <x:row r="5" ht="15" hidden="0" customHeight="1">
      <x:c r="A5" s="14" t="str">
        <x:v>file</x:v>
      </x:c>
      <x:c r="B5" s="14" t="str">
        <x:v>field</x:v>
      </x:c>
      <x:c r="C5" s="14" t="str">
        <x:v>dtype</x:v>
      </x:c>
      <x:c r="D5" s="14" t="str">
        <x:v>description</x:v>
      </x:c>
    </x:row>
    <x:row r="6" ht="15" hidden="0" customHeight="1">
      <x:c r="A6" s="58" t="str">
        <x:v>categories_multilevel_2020_2025.csv</x:v>
      </x:c>
      <x:c r="B6" s="58" t="str">
        <x:v>year</x:v>
      </x:c>
      <x:c r="C6" s="58" t="str">
        <x:v>int64</x:v>
      </x:c>
      <x:c r="D6" s="58" t="str">
        <x:v>Calendar or analytical year.</x:v>
      </x:c>
    </x:row>
    <x:row r="7" ht="15" hidden="0" customHeight="1">
      <x:c r="A7" s="57" t="str">
        <x:v>categories_multilevel_2020_2025.csv</x:v>
      </x:c>
      <x:c r="B7" s="57" t="str">
        <x:v>category</x:v>
      </x:c>
      <x:c r="C7" s="57" t="str">
        <x:v>object</x:v>
      </x:c>
      <x:c r="D7" s="57" t="str">
        <x:v>Category.</x:v>
      </x:c>
    </x:row>
    <x:row r="8" ht="15" hidden="0" customHeight="1">
      <x:c r="A8" s="58" t="str">
        <x:v>categories_multilevel_2020_2025.csv</x:v>
      </x:c>
      <x:c r="B8" s="58" t="str">
        <x:v>category_full</x:v>
      </x:c>
      <x:c r="C8" s="58" t="str">
        <x:v>object</x:v>
      </x:c>
      <x:c r="D8" s="58" t="str">
        <x:v>Category full.</x:v>
      </x:c>
    </x:row>
    <x:row r="9" ht="15" hidden="0" customHeight="1">
      <x:c r="A9" s="57" t="str">
        <x:v>categories_multilevel_2020_2025.csv</x:v>
      </x:c>
      <x:c r="B9" s="57" t="str">
        <x:v>peru_score</x:v>
      </x:c>
      <x:c r="C9" s="57" t="str">
        <x:v>float64</x:v>
      </x:c>
      <x:c r="D9" s="57" t="str">
        <x:v>Peru score on the 0–10 Democracy Index scale; interpret with its data-status field.</x:v>
      </x:c>
    </x:row>
    <x:row r="10" ht="15" hidden="0" customHeight="1">
      <x:c r="A10" s="58" t="str">
        <x:v>categories_multilevel_2020_2025.csv</x:v>
      </x:c>
      <x:c r="B10" s="58" t="str">
        <x:v>latin_america_score</x:v>
      </x:c>
      <x:c r="C10" s="58" t="str">
        <x:v>float64</x:v>
      </x:c>
      <x:c r="D10" s="58" t="str">
        <x:v>Latin America and Caribbean aggregate on the 0–10 scale.</x:v>
      </x:c>
    </x:row>
    <x:row r="11" ht="15" hidden="0" customHeight="1">
      <x:c r="A11" s="57" t="str">
        <x:v>categories_multilevel_2020_2025.csv</x:v>
      </x:c>
      <x:c r="B11" s="57" t="str">
        <x:v>world_score</x:v>
      </x:c>
      <x:c r="C11" s="57" t="str">
        <x:v>float64</x:v>
      </x:c>
      <x:c r="D11" s="57" t="str">
        <x:v>World aggregate on the 0–10 scale.</x:v>
      </x:c>
    </x:row>
    <x:row r="12" ht="15" hidden="0" customHeight="1">
      <x:c r="A12" s="58" t="str">
        <x:v>categories_multilevel_2020_2025.csv</x:v>
      </x:c>
      <x:c r="B12" s="58" t="str">
        <x:v>peru_minus_latam</x:v>
      </x:c>
      <x:c r="C12" s="58" t="str">
        <x:v>float64</x:v>
      </x:c>
      <x:c r="D12" s="58" t="str">
        <x:v>Arithmetic score difference between the named geographies.</x:v>
      </x:c>
    </x:row>
    <x:row r="13" ht="15" hidden="0" customHeight="1">
      <x:c r="A13" s="57" t="str">
        <x:v>categories_multilevel_2020_2025.csv</x:v>
      </x:c>
      <x:c r="B13" s="57" t="str">
        <x:v>peru_minus_world</x:v>
      </x:c>
      <x:c r="C13" s="57" t="str">
        <x:v>float64</x:v>
      </x:c>
      <x:c r="D13" s="57" t="str">
        <x:v>Arithmetic score difference between the named geographies.</x:v>
      </x:c>
    </x:row>
    <x:row r="14" ht="15" hidden="0" customHeight="1">
      <x:c r="A14" s="58" t="str">
        <x:v>categories_multilevel_2020_2025.csv</x:v>
      </x:c>
      <x:c r="B14" s="58" t="str">
        <x:v>latam_minus_world</x:v>
      </x:c>
      <x:c r="C14" s="58" t="str">
        <x:v>float64</x:v>
      </x:c>
      <x:c r="D14" s="58" t="str">
        <x:v>Arithmetic score difference between the named geographies.</x:v>
      </x:c>
    </x:row>
    <x:row r="15" ht="15" hidden="0" customHeight="1">
      <x:c r="A15" s="57" t="str">
        <x:v>categories_multilevel_2020_2025.csv</x:v>
      </x:c>
      <x:c r="B15" s="57" t="str">
        <x:v>source_peru</x:v>
      </x:c>
      <x:c r="C15" s="57" t="str">
        <x:v>object</x:v>
      </x:c>
      <x:c r="D15" s="57" t="str">
        <x:v>Bibliographic source and location for the corresponding value.</x:v>
      </x:c>
    </x:row>
    <x:row r="16" ht="15" hidden="0" customHeight="1">
      <x:c r="A16" s="58" t="str">
        <x:v>categories_multilevel_2020_2025.csv</x:v>
      </x:c>
      <x:c r="B16" s="58" t="str">
        <x:v>source_latam</x:v>
      </x:c>
      <x:c r="C16" s="58" t="str">
        <x:v>object</x:v>
      </x:c>
      <x:c r="D16" s="58" t="str">
        <x:v>Bibliographic source and location for the corresponding value.</x:v>
      </x:c>
    </x:row>
    <x:row r="17" ht="15" hidden="0" customHeight="1">
      <x:c r="A17" s="57" t="str">
        <x:v>categories_multilevel_2020_2025.csv</x:v>
      </x:c>
      <x:c r="B17" s="57" t="str">
        <x:v>source_world</x:v>
      </x:c>
      <x:c r="C17" s="57" t="str">
        <x:v>object</x:v>
      </x:c>
      <x:c r="D17" s="57" t="str">
        <x:v>Bibliographic source and location for the corresponding value.</x:v>
      </x:c>
    </x:row>
    <x:row r="18" ht="15" hidden="0" customHeight="1">
      <x:c r="A18" s="58" t="str">
        <x:v>categories_multilevel_2020_2025.csv</x:v>
      </x:c>
      <x:c r="B18" s="58" t="str">
        <x:v>data_status_peru</x:v>
      </x:c>
      <x:c r="C18" s="58" t="str">
        <x:v>object</x:v>
      </x:c>
      <x:c r="D18" s="58" t="str">
        <x:v>Epistemic status of the Peru value.</x:v>
      </x:c>
    </x:row>
    <x:row r="19" ht="15" hidden="0" customHeight="1">
      <x:c r="A19" s="57" t="str">
        <x:v>categories_multilevel_2020_2025.csv</x:v>
      </x:c>
      <x:c r="B19" s="57" t="str">
        <x:v>data_status_latam</x:v>
      </x:c>
      <x:c r="C19" s="57" t="str">
        <x:v>object</x:v>
      </x:c>
      <x:c r="D19" s="57" t="str">
        <x:v>Epistemic status of the Latin America value.</x:v>
      </x:c>
    </x:row>
    <x:row r="20" ht="15" hidden="0" customHeight="1">
      <x:c r="A20" s="58" t="str">
        <x:v>categories_multilevel_2020_2025.csv</x:v>
      </x:c>
      <x:c r="B20" s="58" t="str">
        <x:v>data_status_world</x:v>
      </x:c>
      <x:c r="C20" s="58" t="str">
        <x:v>object</x:v>
      </x:c>
      <x:c r="D20" s="58" t="str">
        <x:v>Epistemic status of the world value.</x:v>
      </x:c>
    </x:row>
    <x:row r="21" ht="15" hidden="0" customHeight="1">
      <x:c r="A21" s="57" t="str">
        <x:v>data_status_registry.csv</x:v>
      </x:c>
      <x:c r="B21" s="57" t="str">
        <x:v>status_id</x:v>
      </x:c>
      <x:c r="C21" s="57" t="str">
        <x:v>object</x:v>
      </x:c>
      <x:c r="D21" s="57" t="str">
        <x:v>Stable controlled-vocabulary identifier.</x:v>
      </x:c>
    </x:row>
    <x:row r="22" ht="15" hidden="0" customHeight="1">
      <x:c r="A22" s="58" t="str">
        <x:v>data_status_registry.csv</x:v>
      </x:c>
      <x:c r="B22" s="58" t="str">
        <x:v>label_es</x:v>
      </x:c>
      <x:c r="C22" s="58" t="str">
        <x:v>object</x:v>
      </x:c>
      <x:c r="D22" s="58" t="str">
        <x:v>Label es.</x:v>
      </x:c>
    </x:row>
    <x:row r="23" ht="15" hidden="0" customHeight="1">
      <x:c r="A23" s="57" t="str">
        <x:v>data_status_registry.csv</x:v>
      </x:c>
      <x:c r="B23" s="57" t="str">
        <x:v>definition</x:v>
      </x:c>
      <x:c r="C23" s="57" t="str">
        <x:v>object</x:v>
      </x:c>
      <x:c r="D23" s="57" t="str">
        <x:v>Definition of the controlled data status.</x:v>
      </x:c>
    </x:row>
    <x:row r="24" ht="15" hidden="0" customHeight="1">
      <x:c r="A24" s="58" t="str">
        <x:v>data_status_registry.csv</x:v>
      </x:c>
      <x:c r="B24" s="58" t="str">
        <x:v>allowed_use</x:v>
      </x:c>
      <x:c r="C24" s="58" t="str">
        <x:v>object</x:v>
      </x:c>
      <x:c r="D24" s="58" t="str">
        <x:v>Permitted interpretation and citation use.</x:v>
      </x:c>
    </x:row>
    <x:row r="25" ht="15" hidden="0" customHeight="1">
      <x:c r="A25" s="57" t="str">
        <x:v>model_formulas_v2.csv</x:v>
      </x:c>
      <x:c r="B25" s="57" t="str">
        <x:v>formula_id</x:v>
      </x:c>
      <x:c r="C25" s="57" t="str">
        <x:v>object</x:v>
      </x:c>
      <x:c r="D25" s="57" t="str">
        <x:v>Stable formula identifier.</x:v>
      </x:c>
    </x:row>
    <x:row r="26" ht="15" hidden="0" customHeight="1">
      <x:c r="A26" s="58" t="str">
        <x:v>model_formulas_v2.csv</x:v>
      </x:c>
      <x:c r="B26" s="58" t="str">
        <x:v>component</x:v>
      </x:c>
      <x:c r="C26" s="58" t="str">
        <x:v>object</x:v>
      </x:c>
      <x:c r="D26" s="58" t="str">
        <x:v>Component.</x:v>
      </x:c>
    </x:row>
    <x:row r="27" ht="15" hidden="0" customHeight="1">
      <x:c r="A27" s="57" t="str">
        <x:v>model_formulas_v2.csv</x:v>
      </x:c>
      <x:c r="B27" s="57" t="str">
        <x:v>formula</x:v>
      </x:c>
      <x:c r="C27" s="57" t="str">
        <x:v>object</x:v>
      </x:c>
      <x:c r="D27" s="57" t="str">
        <x:v>Human-readable model formula.</x:v>
      </x:c>
    </x:row>
    <x:row r="28" ht="15" hidden="0" customHeight="1">
      <x:c r="A28" s="58" t="str">
        <x:v>model_formulas_v2.csv</x:v>
      </x:c>
      <x:c r="B28" s="58" t="str">
        <x:v>interpretation</x:v>
      </x:c>
      <x:c r="C28" s="58" t="str">
        <x:v>object</x:v>
      </x:c>
      <x:c r="D28" s="58" t="str">
        <x:v>Mandatory interpretive limitation for the value or distribution.</x:v>
      </x:c>
    </x:row>
    <x:row r="29" ht="15" hidden="0" customHeight="1">
      <x:c r="A29" s="57" t="str">
        <x:v>overall_multilevel_2020_2025.csv</x:v>
      </x:c>
      <x:c r="B29" s="57" t="str">
        <x:v>year</x:v>
      </x:c>
      <x:c r="C29" s="57" t="str">
        <x:v>int64</x:v>
      </x:c>
      <x:c r="D29" s="57" t="str">
        <x:v>Calendar or analytical year.</x:v>
      </x:c>
    </x:row>
    <x:row r="30" ht="15" hidden="0" customHeight="1">
      <x:c r="A30" s="58" t="str">
        <x:v>overall_multilevel_2020_2025.csv</x:v>
      </x:c>
      <x:c r="B30" s="58" t="str">
        <x:v>peru_score</x:v>
      </x:c>
      <x:c r="C30" s="58" t="str">
        <x:v>float64</x:v>
      </x:c>
      <x:c r="D30" s="58" t="str">
        <x:v>Peru score on the 0–10 Democracy Index scale; interpret with its data-status field.</x:v>
      </x:c>
    </x:row>
    <x:row r="31" ht="15" hidden="0" customHeight="1">
      <x:c r="A31" s="57" t="str">
        <x:v>overall_multilevel_2020_2025.csv</x:v>
      </x:c>
      <x:c r="B31" s="57" t="str">
        <x:v>latin_america_score</x:v>
      </x:c>
      <x:c r="C31" s="57" t="str">
        <x:v>float64</x:v>
      </x:c>
      <x:c r="D31" s="57" t="str">
        <x:v>Latin America and Caribbean aggregate on the 0–10 scale.</x:v>
      </x:c>
    </x:row>
    <x:row r="32" ht="15" hidden="0" customHeight="1">
      <x:c r="A32" s="58" t="str">
        <x:v>overall_multilevel_2020_2025.csv</x:v>
      </x:c>
      <x:c r="B32" s="58" t="str">
        <x:v>world_score</x:v>
      </x:c>
      <x:c r="C32" s="58" t="str">
        <x:v>float64</x:v>
      </x:c>
      <x:c r="D32" s="58" t="str">
        <x:v>World aggregate on the 0–10 scale.</x:v>
      </x:c>
    </x:row>
    <x:row r="33" ht="15" hidden="0" customHeight="1">
      <x:c r="A33" s="57" t="str">
        <x:v>overall_multilevel_2020_2025.csv</x:v>
      </x:c>
      <x:c r="B33" s="57" t="str">
        <x:v>peru_regime_type</x:v>
      </x:c>
      <x:c r="C33" s="57" t="str">
        <x:v>object</x:v>
      </x:c>
      <x:c r="D33" s="57" t="str">
        <x:v>Peru regime type.</x:v>
      </x:c>
    </x:row>
    <x:row r="34" ht="15" hidden="0" customHeight="1">
      <x:c r="A34" s="58" t="str">
        <x:v>overall_multilevel_2020_2025.csv</x:v>
      </x:c>
      <x:c r="B34" s="58" t="str">
        <x:v>peru_minus_latam</x:v>
      </x:c>
      <x:c r="C34" s="58" t="str">
        <x:v>float64</x:v>
      </x:c>
      <x:c r="D34" s="58" t="str">
        <x:v>Arithmetic score difference between the named geographies.</x:v>
      </x:c>
    </x:row>
    <x:row r="35" ht="15" hidden="0" customHeight="1">
      <x:c r="A35" s="57" t="str">
        <x:v>overall_multilevel_2020_2025.csv</x:v>
      </x:c>
      <x:c r="B35" s="57" t="str">
        <x:v>peru_minus_world</x:v>
      </x:c>
      <x:c r="C35" s="57" t="str">
        <x:v>float64</x:v>
      </x:c>
      <x:c r="D35" s="57" t="str">
        <x:v>Arithmetic score difference between the named geographies.</x:v>
      </x:c>
    </x:row>
    <x:row r="36" ht="15" hidden="0" customHeight="1">
      <x:c r="A36" s="58" t="str">
        <x:v>overall_multilevel_2020_2025.csv</x:v>
      </x:c>
      <x:c r="B36" s="58" t="str">
        <x:v>latam_minus_world</x:v>
      </x:c>
      <x:c r="C36" s="58" t="str">
        <x:v>float64</x:v>
      </x:c>
      <x:c r="D36" s="58" t="str">
        <x:v>Arithmetic score difference between the named geographies.</x:v>
      </x:c>
    </x:row>
    <x:row r="37" ht="15" hidden="0" customHeight="1">
      <x:c r="A37" s="57" t="str">
        <x:v>overall_multilevel_2020_2025.csv</x:v>
      </x:c>
      <x:c r="B37" s="57" t="str">
        <x:v>peru_pct_change_vs_2020</x:v>
      </x:c>
      <x:c r="C37" s="57" t="str">
        <x:v>float64</x:v>
      </x:c>
      <x:c r="D37" s="57" t="str">
        <x:v>Percentage change relative to the 2020 baseline.</x:v>
      </x:c>
    </x:row>
    <x:row r="38" ht="15" hidden="0" customHeight="1">
      <x:c r="A38" s="58" t="str">
        <x:v>overall_multilevel_2020_2025.csv</x:v>
      </x:c>
      <x:c r="B38" s="58" t="str">
        <x:v>latin_america_pct_change_vs_2020</x:v>
      </x:c>
      <x:c r="C38" s="58" t="str">
        <x:v>float64</x:v>
      </x:c>
      <x:c r="D38" s="58" t="str">
        <x:v>Percentage change relative to the 2020 baseline.</x:v>
      </x:c>
    </x:row>
    <x:row r="39" ht="15" hidden="0" customHeight="1">
      <x:c r="A39" s="57" t="str">
        <x:v>overall_multilevel_2020_2025.csv</x:v>
      </x:c>
      <x:c r="B39" s="57" t="str">
        <x:v>world_pct_change_vs_2020</x:v>
      </x:c>
      <x:c r="C39" s="57" t="str">
        <x:v>float64</x:v>
      </x:c>
      <x:c r="D39" s="57" t="str">
        <x:v>Percentage change relative to the 2020 baseline.</x:v>
      </x:c>
    </x:row>
    <x:row r="40" ht="15" hidden="0" customHeight="1">
      <x:c r="A40" s="58" t="str">
        <x:v>overall_multilevel_2020_2025.csv</x:v>
      </x:c>
      <x:c r="B40" s="58" t="str">
        <x:v>source_peru</x:v>
      </x:c>
      <x:c r="C40" s="58" t="str">
        <x:v>object</x:v>
      </x:c>
      <x:c r="D40" s="58" t="str">
        <x:v>Bibliographic source and location for the corresponding value.</x:v>
      </x:c>
    </x:row>
    <x:row r="41" ht="15" hidden="0" customHeight="1">
      <x:c r="A41" s="57" t="str">
        <x:v>overall_multilevel_2020_2025.csv</x:v>
      </x:c>
      <x:c r="B41" s="57" t="str">
        <x:v>source_latam</x:v>
      </x:c>
      <x:c r="C41" s="57" t="str">
        <x:v>object</x:v>
      </x:c>
      <x:c r="D41" s="57" t="str">
        <x:v>Bibliographic source and location for the corresponding value.</x:v>
      </x:c>
    </x:row>
    <x:row r="42" ht="15" hidden="0" customHeight="1">
      <x:c r="A42" s="58" t="str">
        <x:v>overall_multilevel_2020_2025.csv</x:v>
      </x:c>
      <x:c r="B42" s="58" t="str">
        <x:v>source_world</x:v>
      </x:c>
      <x:c r="C42" s="58" t="str">
        <x:v>object</x:v>
      </x:c>
      <x:c r="D42" s="58" t="str">
        <x:v>Bibliographic source and location for the corresponding value.</x:v>
      </x:c>
    </x:row>
    <x:row r="43" ht="15" hidden="0" customHeight="1">
      <x:c r="A43" s="57" t="str">
        <x:v>overall_multilevel_2020_2025.csv</x:v>
      </x:c>
      <x:c r="B43" s="57" t="str">
        <x:v>peru_rank</x:v>
      </x:c>
      <x:c r="C43" s="57" t="str">
        <x:v>float64</x:v>
      </x:c>
      <x:c r="D43" s="57" t="str">
        <x:v>Peru rank.</x:v>
      </x:c>
    </x:row>
    <x:row r="44" ht="15" hidden="0" customHeight="1">
      <x:c r="A44" s="58" t="str">
        <x:v>overall_multilevel_2020_2025.csv</x:v>
      </x:c>
      <x:c r="B44" s="58" t="str">
        <x:v>data_status_peru</x:v>
      </x:c>
      <x:c r="C44" s="58" t="str">
        <x:v>object</x:v>
      </x:c>
      <x:c r="D44" s="58" t="str">
        <x:v>Epistemic status of the Peru value.</x:v>
      </x:c>
    </x:row>
    <x:row r="45" ht="15" hidden="0" customHeight="1">
      <x:c r="A45" s="57" t="str">
        <x:v>parameter_elicitation_matrix.csv</x:v>
      </x:c>
      <x:c r="B45" s="57" t="str">
        <x:v>scenario_id</x:v>
      </x:c>
      <x:c r="C45" s="57" t="str">
        <x:v>object</x:v>
      </x:c>
      <x:c r="D45" s="57" t="str">
        <x:v>Stable machine-readable scenario identifier.</x:v>
      </x:c>
    </x:row>
    <x:row r="46" ht="15" hidden="0" customHeight="1">
      <x:c r="A46" s="58" t="str">
        <x:v>parameter_elicitation_matrix.csv</x:v>
      </x:c>
      <x:c r="B46" s="58" t="str">
        <x:v>scenario_name</x:v>
      </x:c>
      <x:c r="C46" s="58" t="str">
        <x:v>object</x:v>
      </x:c>
      <x:c r="D46" s="58" t="str">
        <x:v>Human-readable scenario name.</x:v>
      </x:c>
    </x:row>
    <x:row r="47" ht="15" hidden="0" customHeight="1">
      <x:c r="A47" s="57" t="str">
        <x:v>parameter_elicitation_matrix.csv</x:v>
      </x:c>
      <x:c r="B47" s="57" t="str">
        <x:v>category_full</x:v>
      </x:c>
      <x:c r="C47" s="57" t="str">
        <x:v>object</x:v>
      </x:c>
      <x:c r="D47" s="57" t="str">
        <x:v>Category full.</x:v>
      </x:c>
    </x:row>
    <x:row r="48" ht="15" hidden="0" customHeight="1">
      <x:c r="A48" s="58" t="str">
        <x:v>parameter_elicitation_matrix.csv</x:v>
      </x:c>
      <x:c r="B48" s="58" t="str">
        <x:v>category_es</x:v>
      </x:c>
      <x:c r="C48" s="58" t="str">
        <x:v>object</x:v>
      </x:c>
      <x:c r="D48" s="58" t="str">
        <x:v>Category es.</x:v>
      </x:c>
    </x:row>
    <x:row r="49" ht="15" hidden="0" customHeight="1">
      <x:c r="A49" s="57" t="str">
        <x:v>parameter_elicitation_matrix.csv</x:v>
      </x:c>
      <x:c r="B49" s="57" t="str">
        <x:v>parameter</x:v>
      </x:c>
      <x:c r="C49" s="57" t="str">
        <x:v>object</x:v>
      </x:c>
      <x:c r="D49" s="57" t="str">
        <x:v>Parameter.</x:v>
      </x:c>
    </x:row>
    <x:row r="50" ht="15" hidden="0" customHeight="1">
      <x:c r="A50" s="58" t="str">
        <x:v>parameter_elicitation_matrix.csv</x:v>
      </x:c>
      <x:c r="B50" s="58" t="str">
        <x:v>central</x:v>
      </x:c>
      <x:c r="C50" s="58" t="str">
        <x:v>float64</x:v>
      </x:c>
      <x:c r="D50" s="58" t="str">
        <x:v>Central structured analytical judgement for the parameter.</x:v>
      </x:c>
    </x:row>
    <x:row r="51" ht="15" hidden="0" customHeight="1">
      <x:c r="A51" s="57" t="str">
        <x:v>parameter_elicitation_matrix.csv</x:v>
      </x:c>
      <x:c r="B51" s="57" t="str">
        <x:v>plausible_low</x:v>
      </x:c>
      <x:c r="C51" s="57" t="str">
        <x:v>float64</x:v>
      </x:c>
      <x:c r="D51" s="57" t="str">
        <x:v>Lower plausible bound used by the triangular parameter distribution.</x:v>
      </x:c>
    </x:row>
    <x:row r="52" ht="15" hidden="0" customHeight="1">
      <x:c r="A52" s="58" t="str">
        <x:v>parameter_elicitation_matrix.csv</x:v>
      </x:c>
      <x:c r="B52" s="58" t="str">
        <x:v>plausible_high</x:v>
      </x:c>
      <x:c r="C52" s="58" t="str">
        <x:v>float64</x:v>
      </x:c>
      <x:c r="D52" s="58" t="str">
        <x:v>Upper plausible bound used by the triangular parameter distribution.</x:v>
      </x:c>
    </x:row>
    <x:row r="53" ht="15" hidden="0" customHeight="1">
      <x:c r="A53" s="57" t="str">
        <x:v>parameter_elicitation_matrix.csv</x:v>
      </x:c>
      <x:c r="B53" s="57" t="str">
        <x:v>evidence_basis</x:v>
      </x:c>
      <x:c r="C53" s="57" t="str">
        <x:v>object</x:v>
      </x:c>
      <x:c r="D53" s="57" t="str">
        <x:v>Semicolon-separated evidence identifiers supporting the judgement.</x:v>
      </x:c>
    </x:row>
    <x:row r="54" ht="15" hidden="0" customHeight="1">
      <x:c r="A54" s="58" t="str">
        <x:v>parameter_elicitation_matrix.csv</x:v>
      </x:c>
      <x:c r="B54" s="58" t="str">
        <x:v>signal</x:v>
      </x:c>
      <x:c r="C54" s="58" t="str">
        <x:v>object</x:v>
      </x:c>
      <x:c r="D54" s="58" t="str">
        <x:v>Signal.</x:v>
      </x:c>
    </x:row>
    <x:row r="55" ht="15" hidden="0" customHeight="1">
      <x:c r="A55" s="57" t="str">
        <x:v>parameter_elicitation_matrix.csv</x:v>
      </x:c>
      <x:c r="B55" s="57" t="str">
        <x:v>translation_rule</x:v>
      </x:c>
      <x:c r="C55" s="57" t="str">
        <x:v>object</x:v>
      </x:c>
      <x:c r="D55" s="57" t="str">
        <x:v>Explicit rule translating qualitative evidence into a bounded parameter judgement.</x:v>
      </x:c>
    </x:row>
    <x:row r="56" ht="15" hidden="0" customHeight="1">
      <x:c r="A56" s="58" t="str">
        <x:v>parameter_elicitation_matrix.csv</x:v>
      </x:c>
      <x:c r="B56" s="58" t="str">
        <x:v>decision_author</x:v>
      </x:c>
      <x:c r="C56" s="58" t="str">
        <x:v>object</x:v>
      </x:c>
      <x:c r="D56" s="58" t="str">
        <x:v>Person responsible for the documented analytical judgement.</x:v>
      </x:c>
    </x:row>
    <x:row r="57" ht="15" hidden="0" customHeight="1">
      <x:c r="A57" s="57" t="str">
        <x:v>parameter_elicitation_matrix.csv</x:v>
      </x:c>
      <x:c r="B57" s="57" t="str">
        <x:v>decision_date</x:v>
      </x:c>
      <x:c r="C57" s="57" t="str">
        <x:v>object</x:v>
      </x:c>
      <x:c r="D57" s="57" t="str">
        <x:v>ISO date of the analytical judgement.</x:v>
      </x:c>
    </x:row>
    <x:row r="58" ht="15" hidden="0" customHeight="1">
      <x:c r="A58" s="58" t="str">
        <x:v>parameter_elicitation_matrix.csv</x:v>
      </x:c>
      <x:c r="B58" s="58" t="str">
        <x:v>parameter_status</x:v>
      </x:c>
      <x:c r="C58" s="58" t="str">
        <x:v>object</x:v>
      </x:c>
      <x:c r="D58" s="58" t="str">
        <x:v>Epistemic classification of the parameter.</x:v>
      </x:c>
    </x:row>
    <x:row r="59" ht="15" hidden="0" customHeight="1">
      <x:c r="A59" s="57" t="str">
        <x:v>peru_2025_anchor_ensemble.csv</x:v>
      </x:c>
      <x:c r="B59" s="57" t="str">
        <x:v>sample_id</x:v>
      </x:c>
      <x:c r="C59" s="57" t="str">
        <x:v>int64</x:v>
      </x:c>
      <x:c r="D59" s="57" t="str">
        <x:v>Deterministic simulation-row identifier.</x:v>
      </x:c>
    </x:row>
    <x:row r="60" ht="15" hidden="0" customHeight="1">
      <x:c r="A60" s="58" t="str">
        <x:v>peru_2025_anchor_ensemble.csv</x:v>
      </x:c>
      <x:c r="B60" s="58" t="str">
        <x:v>Proceso electoral y pluralismo</x:v>
      </x:c>
      <x:c r="C60" s="58" t="str">
        <x:v>float64</x:v>
      </x:c>
      <x:c r="D60" s="58" t="str">
        <x:v>Dimensional score on the 0–10 scale; interpret with data_status.</x:v>
      </x:c>
    </x:row>
    <x:row r="61" ht="15" hidden="0" customHeight="1">
      <x:c r="A61" s="57" t="str">
        <x:v>peru_2025_anchor_ensemble.csv</x:v>
      </x:c>
      <x:c r="B61" s="57" t="str">
        <x:v>Funcionamiento del gobierno</x:v>
      </x:c>
      <x:c r="C61" s="57" t="str">
        <x:v>float64</x:v>
      </x:c>
      <x:c r="D61" s="57" t="str">
        <x:v>Dimensional score on the 0–10 scale; interpret with data_status.</x:v>
      </x:c>
    </x:row>
    <x:row r="62" ht="15" hidden="0" customHeight="1">
      <x:c r="A62" s="58" t="str">
        <x:v>peru_2025_anchor_ensemble.csv</x:v>
      </x:c>
      <x:c r="B62" s="58" t="str">
        <x:v>Participación política</x:v>
      </x:c>
      <x:c r="C62" s="58" t="str">
        <x:v>float64</x:v>
      </x:c>
      <x:c r="D62" s="58" t="str">
        <x:v>Dimensional score on the 0–10 scale; interpret with data_status.</x:v>
      </x:c>
    </x:row>
    <x:row r="63" ht="15" hidden="0" customHeight="1">
      <x:c r="A63" s="57" t="str">
        <x:v>peru_2025_anchor_ensemble.csv</x:v>
      </x:c>
      <x:c r="B63" s="57" t="str">
        <x:v>Cultura política</x:v>
      </x:c>
      <x:c r="C63" s="57" t="str">
        <x:v>float64</x:v>
      </x:c>
      <x:c r="D63" s="57" t="str">
        <x:v>Dimensional score on the 0–10 scale; interpret with data_status.</x:v>
      </x:c>
    </x:row>
    <x:row r="64" ht="15" hidden="0" customHeight="1">
      <x:c r="A64" s="58" t="str">
        <x:v>peru_2025_anchor_ensemble.csv</x:v>
      </x:c>
      <x:c r="B64" s="58" t="str">
        <x:v>Libertades civiles</x:v>
      </x:c>
      <x:c r="C64" s="58" t="str">
        <x:v>float64</x:v>
      </x:c>
      <x:c r="D64" s="58" t="str">
        <x:v>Dimensional score on the 0–10 scale; interpret with data_status.</x:v>
      </x:c>
    </x:row>
    <x:row r="65" ht="15" hidden="0" customHeight="1">
      <x:c r="A65" s="57" t="str">
        <x:v>peru_2025_anchor_ensemble.csv</x:v>
      </x:c>
      <x:c r="B65" s="57" t="str">
        <x:v>overall_score</x:v>
      </x:c>
      <x:c r="C65" s="57" t="str">
        <x:v>float64</x:v>
      </x:c>
      <x:c r="D65" s="57" t="str">
        <x:v>Arithmetic mean of the five dimensional values on the 0–10 scale.</x:v>
      </x:c>
    </x:row>
    <x:row r="66" ht="15" hidden="0" customHeight="1">
      <x:c r="A66" s="58" t="str">
        <x:v>peru_2025_anchor_ensemble.csv</x:v>
      </x:c>
      <x:c r="B66" s="58" t="str">
        <x:v>data_status</x:v>
      </x:c>
      <x:c r="C66" s="58" t="str">
        <x:v>object</x:v>
      </x:c>
      <x:c r="D66" s="58" t="str">
        <x:v>Controlled epistemic-status identifier from data_status_registry.csv.</x:v>
      </x:c>
    </x:row>
    <x:row r="67" ht="15" hidden="0" customHeight="1">
      <x:c r="A67" s="57" t="str">
        <x:v>peru_2025_anchor_summary.csv</x:v>
      </x:c>
      <x:c r="B67" s="57" t="str">
        <x:v>category_full</x:v>
      </x:c>
      <x:c r="C67" s="57" t="str">
        <x:v>object</x:v>
      </x:c>
      <x:c r="D67" s="57" t="str">
        <x:v>Category full.</x:v>
      </x:c>
    </x:row>
    <x:row r="68" ht="15" hidden="0" customHeight="1">
      <x:c r="A68" s="58" t="str">
        <x:v>peru_2025_anchor_summary.csv</x:v>
      </x:c>
      <x:c r="B68" s="58" t="str">
        <x:v>category_es</x:v>
      </x:c>
      <x:c r="C68" s="58" t="str">
        <x:v>object</x:v>
      </x:c>
      <x:c r="D68" s="58" t="str">
        <x:v>Category es.</x:v>
      </x:c>
    </x:row>
    <x:row r="69" ht="15" hidden="0" customHeight="1">
      <x:c r="A69" s="57" t="str">
        <x:v>peru_2025_anchor_summary.csv</x:v>
      </x:c>
      <x:c r="B69" s="57" t="str">
        <x:v>peru_2024_official_source_observed</x:v>
      </x:c>
      <x:c r="C69" s="57" t="str">
        <x:v>float64</x:v>
      </x:c>
      <x:c r="D69" s="57" t="str">
        <x:v>Peru 2024 official source observed.</x:v>
      </x:c>
    </x:row>
    <x:row r="70" ht="15" hidden="0" customHeight="1">
      <x:c r="A70" s="58" t="str">
        <x:v>peru_2025_anchor_summary.csv</x:v>
      </x:c>
      <x:c r="B70" s="58" t="str">
        <x:v>central_anchor_2025</x:v>
      </x:c>
      <x:c r="C70" s="58" t="str">
        <x:v>float64</x:v>
      </x:c>
      <x:c r="D70" s="58" t="str">
        <x:v>Central anchor 2025.</x:v>
      </x:c>
    </x:row>
    <x:row r="71" ht="15" hidden="0" customHeight="1">
      <x:c r="A71" s="57" t="str">
        <x:v>peru_2025_anchor_summary.csv</x:v>
      </x:c>
      <x:c r="B71" s="57" t="str">
        <x:v>anchor_sigma</x:v>
      </x:c>
      <x:c r="C71" s="57" t="str">
        <x:v>float64</x:v>
      </x:c>
      <x:c r="D71" s="57" t="str">
        <x:v>Anchor sigma.</x:v>
      </x:c>
    </x:row>
    <x:row r="72" ht="15" hidden="0" customHeight="1">
      <x:c r="A72" s="58" t="str">
        <x:v>peru_2025_anchor_summary.csv</x:v>
      </x:c>
      <x:c r="B72" s="58" t="str">
        <x:v>admissible_low</x:v>
      </x:c>
      <x:c r="C72" s="58" t="str">
        <x:v>float64</x:v>
      </x:c>
      <x:c r="D72" s="58" t="str">
        <x:v>Admissible low.</x:v>
      </x:c>
    </x:row>
    <x:row r="73" ht="15" hidden="0" customHeight="1">
      <x:c r="A73" s="57" t="str">
        <x:v>peru_2025_anchor_summary.csv</x:v>
      </x:c>
      <x:c r="B73" s="57" t="str">
        <x:v>p10</x:v>
      </x:c>
      <x:c r="C73" s="57" t="str">
        <x:v>float64</x:v>
      </x:c>
      <x:c r="D73" s="57" t="str">
        <x:v>10th percentile of the stated sensitivity distribution.</x:v>
      </x:c>
    </x:row>
    <x:row r="74" ht="15" hidden="0" customHeight="1">
      <x:c r="A74" s="58" t="str">
        <x:v>peru_2025_anchor_summary.csv</x:v>
      </x:c>
      <x:c r="B74" s="58" t="str">
        <x:v>p50</x:v>
      </x:c>
      <x:c r="C74" s="58" t="str">
        <x:v>float64</x:v>
      </x:c>
      <x:c r="D74" s="58" t="str">
        <x:v>Median of the stated sensitivity distribution.</x:v>
      </x:c>
    </x:row>
    <x:row r="75" ht="15" hidden="0" customHeight="1">
      <x:c r="A75" s="57" t="str">
        <x:v>peru_2025_anchor_summary.csv</x:v>
      </x:c>
      <x:c r="B75" s="57" t="str">
        <x:v>p90</x:v>
      </x:c>
      <x:c r="C75" s="57" t="str">
        <x:v>float64</x:v>
      </x:c>
      <x:c r="D75" s="57" t="str">
        <x:v>90th percentile of the stated sensitivity distribution.</x:v>
      </x:c>
    </x:row>
    <x:row r="76" ht="15" hidden="0" customHeight="1">
      <x:c r="A76" s="58" t="str">
        <x:v>peru_2025_anchor_summary.csv</x:v>
      </x:c>
      <x:c r="B76" s="58" t="str">
        <x:v>admissible_high</x:v>
      </x:c>
      <x:c r="C76" s="58" t="str">
        <x:v>float64</x:v>
      </x:c>
      <x:c r="D76" s="58" t="str">
        <x:v>Admissible high.</x:v>
      </x:c>
    </x:row>
    <x:row r="77" ht="15" hidden="0" customHeight="1">
      <x:c r="A77" s="57" t="str">
        <x:v>peru_2025_anchor_summary.csv</x:v>
      </x:c>
      <x:c r="B77" s="57" t="str">
        <x:v>overall_constraint</x:v>
      </x:c>
      <x:c r="C77" s="57" t="str">
        <x:v>float64</x:v>
      </x:c>
      <x:c r="D77" s="57" t="str">
        <x:v>Fixed 2025 aggregate that every latent dimensional vector must preserve.</x:v>
      </x:c>
    </x:row>
    <x:row r="78" ht="15" hidden="0" customHeight="1">
      <x:c r="A78" s="58" t="str">
        <x:v>peru_2025_anchor_summary.csv</x:v>
      </x:c>
      <x:c r="B78" s="58" t="str">
        <x:v>data_status</x:v>
      </x:c>
      <x:c r="C78" s="58" t="str">
        <x:v>object</x:v>
      </x:c>
      <x:c r="D78" s="58" t="str">
        <x:v>Controlled epistemic-status identifier from data_status_registry.csv.</x:v>
      </x:c>
    </x:row>
    <x:row r="79" ht="15" hidden="0" customHeight="1">
      <x:c r="A79" s="57" t="str">
        <x:v>peru_2025_anchor_summary.csv</x:v>
      </x:c>
      <x:c r="B79" s="57" t="str">
        <x:v>interpretation</x:v>
      </x:c>
      <x:c r="C79" s="57" t="str">
        <x:v>object</x:v>
      </x:c>
      <x:c r="D79" s="57" t="str">
        <x:v>Mandatory interpretive limitation for the value or distribution.</x:v>
      </x:c>
    </x:row>
    <x:row r="80" ht="15" hidden="0" customHeight="1">
      <x:c r="A80" s="58" t="str">
        <x:v>peru_2025_category_calibration_audit.csv</x:v>
      </x:c>
      <x:c r="B80" s="58" t="str">
        <x:v>category_full</x:v>
      </x:c>
      <x:c r="C80" s="58" t="str">
        <x:v>object</x:v>
      </x:c>
      <x:c r="D80" s="58" t="str">
        <x:v>Category full.</x:v>
      </x:c>
    </x:row>
    <x:row r="81" ht="15" hidden="0" customHeight="1">
      <x:c r="A81" s="57" t="str">
        <x:v>peru_2025_category_calibration_audit.csv</x:v>
      </x:c>
      <x:c r="B81" s="57" t="str">
        <x:v>peru_2024_observed</x:v>
      </x:c>
      <x:c r="C81" s="57" t="str">
        <x:v>float64</x:v>
      </x:c>
      <x:c r="D81" s="57" t="str">
        <x:v>Peru 2024 observed.</x:v>
      </x:c>
    </x:row>
    <x:row r="82" ht="15" hidden="0" customHeight="1">
      <x:c r="A82" s="58" t="str">
        <x:v>peru_2025_category_calibration_audit.csv</x:v>
      </x:c>
      <x:c r="B82" s="58" t="str">
        <x:v>latam_delta_2025_2024</x:v>
      </x:c>
      <x:c r="C82" s="58" t="str">
        <x:v>float64</x:v>
      </x:c>
      <x:c r="D82" s="58" t="str">
        <x:v>Latam delta 2025 2024.</x:v>
      </x:c>
    </x:row>
    <x:row r="83" ht="15" hidden="0" customHeight="1">
      <x:c r="A83" s="57" t="str">
        <x:v>peru_2025_category_calibration_audit.csv</x:v>
      </x:c>
      <x:c r="B83" s="57" t="str">
        <x:v>world_delta_2025_2024</x:v>
      </x:c>
      <x:c r="C83" s="57" t="str">
        <x:v>float64</x:v>
      </x:c>
      <x:c r="D83" s="57" t="str">
        <x:v>World delta 2025 2024.</x:v>
      </x:c>
    </x:row>
    <x:row r="84" ht="15" hidden="0" customHeight="1">
      <x:c r="A84" s="58" t="str">
        <x:v>peru_2025_category_calibration_audit.csv</x:v>
      </x:c>
      <x:c r="B84" s="58" t="str">
        <x:v>peru_2025_modeled_anchor</x:v>
      </x:c>
      <x:c r="C84" s="58" t="str">
        <x:v>float64</x:v>
      </x:c>
      <x:c r="D84" s="58" t="str">
        <x:v>Peru 2025 modeled anchor.</x:v>
      </x:c>
    </x:row>
    <x:row r="85" ht="15" hidden="0" customHeight="1">
      <x:c r="A85" s="57" t="str">
        <x:v>peru_2025_category_calibration_audit.csv</x:v>
      </x:c>
      <x:c r="B85" s="57" t="str">
        <x:v>peru_delta_2025_2024</x:v>
      </x:c>
      <x:c r="C85" s="57" t="str">
        <x:v>float64</x:v>
      </x:c>
      <x:c r="D85" s="57" t="str">
        <x:v>Peru delta 2025 2024.</x:v>
      </x:c>
    </x:row>
    <x:row r="86" ht="15" hidden="0" customHeight="1">
      <x:c r="A86" s="58" t="str">
        <x:v>peru_2025_category_calibration_audit.csv</x:v>
      </x:c>
      <x:c r="B86" s="58" t="str">
        <x:v>rationale</x:v>
      </x:c>
      <x:c r="C86" s="58" t="str">
        <x:v>object</x:v>
      </x:c>
      <x:c r="D86" s="58" t="str">
        <x:v>Rationale.</x:v>
      </x:c>
    </x:row>
    <x:row r="87" ht="15" hidden="0" customHeight="1">
      <x:c r="A87" s="57" t="str">
        <x:v>post_election_evidence_2026.csv</x:v>
      </x:c>
      <x:c r="B87" s="57" t="str">
        <x:v>id</x:v>
      </x:c>
      <x:c r="C87" s="57" t="str">
        <x:v>object</x:v>
      </x:c>
      <x:c r="D87" s="57" t="str">
        <x:v>Id.</x:v>
      </x:c>
    </x:row>
    <x:row r="88" ht="15" hidden="0" customHeight="1">
      <x:c r="A88" s="58" t="str">
        <x:v>post_election_evidence_2026.csv</x:v>
      </x:c>
      <x:c r="B88" s="58" t="str">
        <x:v>date</x:v>
      </x:c>
      <x:c r="C88" s="58" t="str">
        <x:v>object</x:v>
      </x:c>
      <x:c r="D88" s="58" t="str">
        <x:v>Date.</x:v>
      </x:c>
    </x:row>
    <x:row r="89" ht="15" hidden="0" customHeight="1">
      <x:c r="A89" s="57" t="str">
        <x:v>post_election_evidence_2026.csv</x:v>
      </x:c>
      <x:c r="B89" s="57" t="str">
        <x:v>type</x:v>
      </x:c>
      <x:c r="C89" s="57" t="str">
        <x:v>object</x:v>
      </x:c>
      <x:c r="D89" s="57" t="str">
        <x:v>Type.</x:v>
      </x:c>
    </x:row>
    <x:row r="90" ht="15" hidden="0" customHeight="1">
      <x:c r="A90" s="58" t="str">
        <x:v>post_election_evidence_2026.csv</x:v>
      </x:c>
      <x:c r="B90" s="58" t="str">
        <x:v>source</x:v>
      </x:c>
      <x:c r="C90" s="58" t="str">
        <x:v>object</x:v>
      </x:c>
      <x:c r="D90" s="58" t="str">
        <x:v>Source.</x:v>
      </x:c>
    </x:row>
    <x:row r="91" ht="15" hidden="0" customHeight="1">
      <x:c r="A91" s="57" t="str">
        <x:v>post_election_evidence_2026.csv</x:v>
      </x:c>
      <x:c r="B91" s="57" t="str">
        <x:v>title</x:v>
      </x:c>
      <x:c r="C91" s="57" t="str">
        <x:v>object</x:v>
      </x:c>
      <x:c r="D91" s="57" t="str">
        <x:v>Title.</x:v>
      </x:c>
    </x:row>
    <x:row r="92" ht="15" hidden="0" customHeight="1">
      <x:c r="A92" s="58" t="str">
        <x:v>post_election_evidence_2026.csv</x:v>
      </x:c>
      <x:c r="B92" s="58" t="str">
        <x:v>signal</x:v>
      </x:c>
      <x:c r="C92" s="58" t="str">
        <x:v>object</x:v>
      </x:c>
      <x:c r="D92" s="58" t="str">
        <x:v>Signal.</x:v>
      </x:c>
    </x:row>
    <x:row r="93" ht="15" hidden="0" customHeight="1">
      <x:c r="A93" s="57" t="str">
        <x:v>post_election_evidence_2026.csv</x:v>
      </x:c>
      <x:c r="B93" s="57" t="str">
        <x:v>model_dimensions</x:v>
      </x:c>
      <x:c r="C93" s="57" t="str">
        <x:v>object</x:v>
      </x:c>
      <x:c r="D93" s="57" t="str">
        <x:v>Model dimensions.</x:v>
      </x:c>
    </x:row>
    <x:row r="94" ht="15" hidden="0" customHeight="1">
      <x:c r="A94" s="58" t="str">
        <x:v>post_election_evidence_2026.csv</x:v>
      </x:c>
      <x:c r="B94" s="58" t="str">
        <x:v>url</x:v>
      </x:c>
      <x:c r="C94" s="58" t="str">
        <x:v>object</x:v>
      </x:c>
      <x:c r="D94" s="58" t="str">
        <x:v>Source URL.</x:v>
      </x:c>
    </x:row>
    <x:row r="95" ht="15" hidden="0" customHeight="1">
      <x:c r="A95" s="57" t="str">
        <x:v>post_election_evidence_2026.csv</x:v>
      </x:c>
      <x:c r="B95" s="57" t="str">
        <x:v>source_priority</x:v>
      </x:c>
      <x:c r="C95" s="57" t="str">
        <x:v>object</x:v>
      </x:c>
      <x:c r="D95" s="57" t="str">
        <x:v>Categorical source-priority label; never a numeric model weight.</x:v>
      </x:c>
    </x:row>
    <x:row r="96" ht="15" hidden="0" customHeight="1">
      <x:c r="A96" s="58" t="str">
        <x:v>post_election_evidence_2026.csv</x:v>
      </x:c>
      <x:c r="B96" s="58" t="str">
        <x:v>computational_use</x:v>
      </x:c>
      <x:c r="C96" s="58" t="str">
        <x:v>bool</x:v>
      </x:c>
      <x:c r="D96" s="58" t="str">
        <x:v>Whether the evidence record is directly used as a numeric coefficient.</x:v>
      </x:c>
    </x:row>
    <x:row r="97" ht="15" hidden="0" customHeight="1">
      <x:c r="A97" s="57" t="str">
        <x:v>scenario_coefficients.csv</x:v>
      </x:c>
      <x:c r="B97" s="57" t="str">
        <x:v>scenario_id</x:v>
      </x:c>
      <x:c r="C97" s="57" t="str">
        <x:v>object</x:v>
      </x:c>
      <x:c r="D97" s="57" t="str">
        <x:v>Stable machine-readable scenario identifier.</x:v>
      </x:c>
    </x:row>
    <x:row r="98" ht="15" hidden="0" customHeight="1">
      <x:c r="A98" s="58" t="str">
        <x:v>scenario_coefficients.csv</x:v>
      </x:c>
      <x:c r="B98" s="58" t="str">
        <x:v>scenario_name</x:v>
      </x:c>
      <x:c r="C98" s="58" t="str">
        <x:v>object</x:v>
      </x:c>
      <x:c r="D98" s="58" t="str">
        <x:v>Human-readable scenario name.</x:v>
      </x:c>
    </x:row>
    <x:row r="99" ht="15" hidden="0" customHeight="1">
      <x:c r="A99" s="57" t="str">
        <x:v>scenario_coefficients.csv</x:v>
      </x:c>
      <x:c r="B99" s="57" t="str">
        <x:v>category_full</x:v>
      </x:c>
      <x:c r="C99" s="57" t="str">
        <x:v>object</x:v>
      </x:c>
      <x:c r="D99" s="57" t="str">
        <x:v>Category full.</x:v>
      </x:c>
    </x:row>
    <x:row r="100" ht="15" hidden="0" customHeight="1">
      <x:c r="A100" s="58" t="str">
        <x:v>scenario_coefficients.csv</x:v>
      </x:c>
      <x:c r="B100" s="58" t="str">
        <x:v>category_es</x:v>
      </x:c>
      <x:c r="C100" s="58" t="str">
        <x:v>object</x:v>
      </x:c>
      <x:c r="D100" s="58" t="str">
        <x:v>Category es.</x:v>
      </x:c>
    </x:row>
    <x:row r="101" ht="15" hidden="0" customHeight="1">
      <x:c r="A101" s="57" t="str">
        <x:v>scenario_coefficients.csv</x:v>
      </x:c>
      <x:c r="B101" s="57" t="str">
        <x:v>annual_structural_rate</x:v>
      </x:c>
      <x:c r="C101" s="57" t="str">
        <x:v>float64</x:v>
      </x:c>
      <x:c r="D101" s="57" t="str">
        <x:v>Annual structural rate.</x:v>
      </x:c>
    </x:row>
    <x:row r="102" ht="15" hidden="0" customHeight="1">
      <x:c r="A102" s="58" t="str">
        <x:v>scenario_coefficients.csv</x:v>
      </x:c>
      <x:c r="B102" s="58" t="str">
        <x:v>shock_2026</x:v>
      </x:c>
      <x:c r="C102" s="58" t="str">
        <x:v>float64</x:v>
      </x:c>
      <x:c r="D102" s="58" t="str">
        <x:v>Shock 2026.</x:v>
      </x:c>
    </x:row>
    <x:row r="103" ht="15" hidden="0" customHeight="1">
      <x:c r="A103" s="57" t="str">
        <x:v>scenario_coefficients.csv</x:v>
      </x:c>
      <x:c r="B103" s="57" t="str">
        <x:v>evidence_basis</x:v>
      </x:c>
      <x:c r="C103" s="57" t="str">
        <x:v>object</x:v>
      </x:c>
      <x:c r="D103" s="57" t="str">
        <x:v>Semicolon-separated evidence identifiers supporting the judgement.</x:v>
      </x:c>
    </x:row>
    <x:row r="104" ht="15" hidden="0" customHeight="1">
      <x:c r="A104" s="58" t="str">
        <x:v>scenario_parameter_samples_summary.csv</x:v>
      </x:c>
      <x:c r="B104" s="58" t="str">
        <x:v>scenario_id</x:v>
      </x:c>
      <x:c r="C104" s="58" t="str">
        <x:v>object</x:v>
      </x:c>
      <x:c r="D104" s="58" t="str">
        <x:v>Stable machine-readable scenario identifier.</x:v>
      </x:c>
    </x:row>
    <x:row r="105" ht="15" hidden="0" customHeight="1">
      <x:c r="A105" s="57" t="str">
        <x:v>scenario_parameter_samples_summary.csv</x:v>
      </x:c>
      <x:c r="B105" s="57" t="str">
        <x:v>category_full</x:v>
      </x:c>
      <x:c r="C105" s="57" t="str">
        <x:v>object</x:v>
      </x:c>
      <x:c r="D105" s="57" t="str">
        <x:v>Category full.</x:v>
      </x:c>
    </x:row>
    <x:row r="106" ht="15" hidden="0" customHeight="1">
      <x:c r="A106" s="58" t="str">
        <x:v>scenario_parameter_samples_summary.csv</x:v>
      </x:c>
      <x:c r="B106" s="58" t="str">
        <x:v>category_es</x:v>
      </x:c>
      <x:c r="C106" s="58" t="str">
        <x:v>object</x:v>
      </x:c>
      <x:c r="D106" s="58" t="str">
        <x:v>Category es.</x:v>
      </x:c>
    </x:row>
    <x:row r="107" ht="15" hidden="0" customHeight="1">
      <x:c r="A107" s="57" t="str">
        <x:v>scenario_parameter_samples_summary.csv</x:v>
      </x:c>
      <x:c r="B107" s="57" t="str">
        <x:v>parameter</x:v>
      </x:c>
      <x:c r="C107" s="57" t="str">
        <x:v>object</x:v>
      </x:c>
      <x:c r="D107" s="57" t="str">
        <x:v>Parameter.</x:v>
      </x:c>
    </x:row>
    <x:row r="108" ht="15" hidden="0" customHeight="1">
      <x:c r="A108" s="58" t="str">
        <x:v>scenario_parameter_samples_summary.csv</x:v>
      </x:c>
      <x:c r="B108" s="58" t="str">
        <x:v>p10</x:v>
      </x:c>
      <x:c r="C108" s="58" t="str">
        <x:v>float64</x:v>
      </x:c>
      <x:c r="D108" s="58" t="str">
        <x:v>10th percentile of the stated sensitivity distribution.</x:v>
      </x:c>
    </x:row>
    <x:row r="109" ht="15" hidden="0" customHeight="1">
      <x:c r="A109" s="57" t="str">
        <x:v>scenario_parameter_samples_summary.csv</x:v>
      </x:c>
      <x:c r="B109" s="57" t="str">
        <x:v>p50</x:v>
      </x:c>
      <x:c r="C109" s="57" t="str">
        <x:v>float64</x:v>
      </x:c>
      <x:c r="D109" s="57" t="str">
        <x:v>Median of the stated sensitivity distribution.</x:v>
      </x:c>
    </x:row>
    <x:row r="110" ht="15" hidden="0" customHeight="1">
      <x:c r="A110" s="58" t="str">
        <x:v>scenario_parameter_samples_summary.csv</x:v>
      </x:c>
      <x:c r="B110" s="58" t="str">
        <x:v>p90</x:v>
      </x:c>
      <x:c r="C110" s="58" t="str">
        <x:v>float64</x:v>
      </x:c>
      <x:c r="D110" s="58" t="str">
        <x:v>90th percentile of the stated sensitivity distribution.</x:v>
      </x:c>
    </x:row>
    <x:row r="111" ht="15" hidden="0" customHeight="1">
      <x:c r="A111" s="57" t="str">
        <x:v>scenario_parameter_samples_summary.csv</x:v>
      </x:c>
      <x:c r="B111" s="57" t="str">
        <x:v>n_sim</x:v>
      </x:c>
      <x:c r="C111" s="57" t="str">
        <x:v>int64</x:v>
      </x:c>
      <x:c r="D111" s="57" t="str">
        <x:v>Number of Monte Carlo sensitivity draws.</x:v>
      </x:c>
    </x:row>
    <x:row r="112" ht="15" hidden="0" customHeight="1">
      <x:c r="A112" s="58" t="str">
        <x:v>scenario_sensitivity_bands.csv</x:v>
      </x:c>
      <x:c r="B112" s="58" t="str">
        <x:v>scenario_id</x:v>
      </x:c>
      <x:c r="C112" s="58" t="str">
        <x:v>object</x:v>
      </x:c>
      <x:c r="D112" s="58" t="str">
        <x:v>Stable machine-readable scenario identifier.</x:v>
      </x:c>
    </x:row>
    <x:row r="113" ht="15" hidden="0" customHeight="1">
      <x:c r="A113" s="57" t="str">
        <x:v>scenario_sensitivity_bands.csv</x:v>
      </x:c>
      <x:c r="B113" s="57" t="str">
        <x:v>year</x:v>
      </x:c>
      <x:c r="C113" s="57" t="str">
        <x:v>int64</x:v>
      </x:c>
      <x:c r="D113" s="57" t="str">
        <x:v>Calendar or analytical year.</x:v>
      </x:c>
    </x:row>
    <x:row r="114" ht="15" hidden="0" customHeight="1">
      <x:c r="A114" s="58" t="str">
        <x:v>scenario_sensitivity_bands.csv</x:v>
      </x:c>
      <x:c r="B114" s="58" t="str">
        <x:v>p10</x:v>
      </x:c>
      <x:c r="C114" s="58" t="str">
        <x:v>float64</x:v>
      </x:c>
      <x:c r="D114" s="58" t="str">
        <x:v>10th percentile of the stated sensitivity distribution.</x:v>
      </x:c>
    </x:row>
    <x:row r="115" ht="15" hidden="0" customHeight="1">
      <x:c r="A115" s="57" t="str">
        <x:v>scenario_sensitivity_bands.csv</x:v>
      </x:c>
      <x:c r="B115" s="57" t="str">
        <x:v>p50</x:v>
      </x:c>
      <x:c r="C115" s="57" t="str">
        <x:v>float64</x:v>
      </x:c>
      <x:c r="D115" s="57" t="str">
        <x:v>Median of the stated sensitivity distribution.</x:v>
      </x:c>
    </x:row>
    <x:row r="116" ht="15" hidden="0" customHeight="1">
      <x:c r="A116" s="58" t="str">
        <x:v>scenario_sensitivity_bands.csv</x:v>
      </x:c>
      <x:c r="B116" s="58" t="str">
        <x:v>p90</x:v>
      </x:c>
      <x:c r="C116" s="58" t="str">
        <x:v>float64</x:v>
      </x:c>
      <x:c r="D116" s="58" t="str">
        <x:v>90th percentile of the stated sensitivity distribution.</x:v>
      </x:c>
    </x:row>
    <x:row r="117" ht="15" hidden="0" customHeight="1">
      <x:c r="A117" s="57" t="str">
        <x:v>scenario_sensitivity_bands.csv</x:v>
      </x:c>
      <x:c r="B117" s="57" t="str">
        <x:v>n_sim</x:v>
      </x:c>
      <x:c r="C117" s="57" t="str">
        <x:v>int64</x:v>
      </x:c>
      <x:c r="D117" s="57" t="str">
        <x:v>Number of Monte Carlo sensitivity draws.</x:v>
      </x:c>
    </x:row>
    <x:row r="118" ht="15" hidden="0" customHeight="1">
      <x:c r="A118" s="58" t="str">
        <x:v>scenario_sensitivity_bands.csv</x:v>
      </x:c>
      <x:c r="B118" s="58" t="str">
        <x:v>uncertainty_layers</x:v>
      </x:c>
      <x:c r="C118" s="58" t="str">
        <x:v>object</x:v>
      </x:c>
      <x:c r="D118" s="58" t="str">
        <x:v>Uncertainty components jointly propagated in the sensitivity exercise.</x:v>
      </x:c>
    </x:row>
    <x:row r="119" ht="15" hidden="0" customHeight="1">
      <x:c r="A119" s="57" t="str">
        <x:v>scenario_sensitivity_bands.csv</x:v>
      </x:c>
      <x:c r="B119" s="57" t="str">
        <x:v>note</x:v>
      </x:c>
      <x:c r="C119" s="57" t="str">
        <x:v>object</x:v>
      </x:c>
      <x:c r="D119" s="57" t="str">
        <x:v>Interpretive note, including limits on probabilistic claims.</x:v>
      </x:c>
    </x:row>
    <x:row r="120" ht="15" hidden="0" customHeight="1">
      <x:c r="A120" s="58" t="str">
        <x:v>scenario_sensitivity_by_category.csv</x:v>
      </x:c>
      <x:c r="B120" s="58" t="str">
        <x:v>scenario_id</x:v>
      </x:c>
      <x:c r="C120" s="58" t="str">
        <x:v>object</x:v>
      </x:c>
      <x:c r="D120" s="58" t="str">
        <x:v>Stable machine-readable scenario identifier.</x:v>
      </x:c>
    </x:row>
    <x:row r="121" ht="15" hidden="0" customHeight="1">
      <x:c r="A121" s="57" t="str">
        <x:v>scenario_sensitivity_by_category.csv</x:v>
      </x:c>
      <x:c r="B121" s="57" t="str">
        <x:v>year</x:v>
      </x:c>
      <x:c r="C121" s="57" t="str">
        <x:v>int64</x:v>
      </x:c>
      <x:c r="D121" s="57" t="str">
        <x:v>Calendar or analytical year.</x:v>
      </x:c>
    </x:row>
    <x:row r="122" ht="15" hidden="0" customHeight="1">
      <x:c r="A122" s="58" t="str">
        <x:v>scenario_sensitivity_by_category.csv</x:v>
      </x:c>
      <x:c r="B122" s="58" t="str">
        <x:v>category_full</x:v>
      </x:c>
      <x:c r="C122" s="58" t="str">
        <x:v>object</x:v>
      </x:c>
      <x:c r="D122" s="58" t="str">
        <x:v>Category full.</x:v>
      </x:c>
    </x:row>
    <x:row r="123" ht="15" hidden="0" customHeight="1">
      <x:c r="A123" s="57" t="str">
        <x:v>scenario_sensitivity_by_category.csv</x:v>
      </x:c>
      <x:c r="B123" s="57" t="str">
        <x:v>category_es</x:v>
      </x:c>
      <x:c r="C123" s="57" t="str">
        <x:v>object</x:v>
      </x:c>
      <x:c r="D123" s="57" t="str">
        <x:v>Category es.</x:v>
      </x:c>
    </x:row>
    <x:row r="124" ht="15" hidden="0" customHeight="1">
      <x:c r="A124" s="58" t="str">
        <x:v>scenario_sensitivity_by_category.csv</x:v>
      </x:c>
      <x:c r="B124" s="58" t="str">
        <x:v>p10</x:v>
      </x:c>
      <x:c r="C124" s="58" t="str">
        <x:v>float64</x:v>
      </x:c>
      <x:c r="D124" s="58" t="str">
        <x:v>10th percentile of the stated sensitivity distribution.</x:v>
      </x:c>
    </x:row>
    <x:row r="125" ht="15" hidden="0" customHeight="1">
      <x:c r="A125" s="57" t="str">
        <x:v>scenario_sensitivity_by_category.csv</x:v>
      </x:c>
      <x:c r="B125" s="57" t="str">
        <x:v>p50</x:v>
      </x:c>
      <x:c r="C125" s="57" t="str">
        <x:v>float64</x:v>
      </x:c>
      <x:c r="D125" s="57" t="str">
        <x:v>Median of the stated sensitivity distribution.</x:v>
      </x:c>
    </x:row>
    <x:row r="126" ht="15" hidden="0" customHeight="1">
      <x:c r="A126" s="58" t="str">
        <x:v>scenario_sensitivity_by_category.csv</x:v>
      </x:c>
      <x:c r="B126" s="58" t="str">
        <x:v>p90</x:v>
      </x:c>
      <x:c r="C126" s="58" t="str">
        <x:v>float64</x:v>
      </x:c>
      <x:c r="D126" s="58" t="str">
        <x:v>90th percentile of the stated sensitivity distribution.</x:v>
      </x:c>
    </x:row>
    <x:row r="127" ht="15" hidden="0" customHeight="1">
      <x:c r="A127" s="57" t="str">
        <x:v>scenario_sensitivity_by_category.csv</x:v>
      </x:c>
      <x:c r="B127" s="57" t="str">
        <x:v>n_sim</x:v>
      </x:c>
      <x:c r="C127" s="57" t="str">
        <x:v>int64</x:v>
      </x:c>
      <x:c r="D127" s="57" t="str">
        <x:v>Number of Monte Carlo sensitivity draws.</x:v>
      </x:c>
    </x:row>
    <x:row r="128" ht="15" hidden="0" customHeight="1">
      <x:c r="A128" s="58" t="str">
        <x:v>scenario_summary_2030.csv</x:v>
      </x:c>
      <x:c r="B128" s="58" t="str">
        <x:v>scenario_id</x:v>
      </x:c>
      <x:c r="C128" s="58" t="str">
        <x:v>object</x:v>
      </x:c>
      <x:c r="D128" s="58" t="str">
        <x:v>Stable machine-readable scenario identifier.</x:v>
      </x:c>
    </x:row>
    <x:row r="129" ht="15" hidden="0" customHeight="1">
      <x:c r="A129" s="57" t="str">
        <x:v>scenario_summary_2030.csv</x:v>
      </x:c>
      <x:c r="B129" s="57" t="str">
        <x:v>scenario_name</x:v>
      </x:c>
      <x:c r="C129" s="57" t="str">
        <x:v>object</x:v>
      </x:c>
      <x:c r="D129" s="57" t="str">
        <x:v>Human-readable scenario name.</x:v>
      </x:c>
    </x:row>
    <x:row r="130" ht="15" hidden="0" customHeight="1">
      <x:c r="A130" s="58" t="str">
        <x:v>scenario_summary_2030.csv</x:v>
      </x:c>
      <x:c r="B130" s="58" t="str">
        <x:v>scenario_type</x:v>
      </x:c>
      <x:c r="C130" s="58" t="str">
        <x:v>object</x:v>
      </x:c>
      <x:c r="D130" s="58" t="str">
        <x:v>Scenario type.</x:v>
      </x:c>
    </x:row>
    <x:row r="131" ht="15" hidden="0" customHeight="1">
      <x:c r="A131" s="57" t="str">
        <x:v>scenario_summary_2030.csv</x:v>
      </x:c>
      <x:c r="B131" s="57" t="str">
        <x:v>description</x:v>
      </x:c>
      <x:c r="C131" s="57" t="str">
        <x:v>object</x:v>
      </x:c>
      <x:c r="D131" s="57" t="str">
        <x:v>Description.</x:v>
      </x:c>
    </x:row>
    <x:row r="132" ht="15" hidden="0" customHeight="1">
      <x:c r="A132" s="58" t="str">
        <x:v>scenario_summary_2030.csv</x:v>
      </x:c>
      <x:c r="B132" s="58" t="str">
        <x:v>score_2026</x:v>
      </x:c>
      <x:c r="C132" s="58" t="str">
        <x:v>float64</x:v>
      </x:c>
      <x:c r="D132" s="58" t="str">
        <x:v>Score 2026.</x:v>
      </x:c>
    </x:row>
    <x:row r="133" ht="15" hidden="0" customHeight="1">
      <x:c r="A133" s="57" t="str">
        <x:v>scenario_summary_2030.csv</x:v>
      </x:c>
      <x:c r="B133" s="57" t="str">
        <x:v>score_2030</x:v>
      </x:c>
      <x:c r="C133" s="57" t="str">
        <x:v>float64</x:v>
      </x:c>
      <x:c r="D133" s="57" t="str">
        <x:v>Score 2030.</x:v>
      </x:c>
    </x:row>
    <x:row r="134" ht="15" hidden="0" customHeight="1">
      <x:c r="A134" s="58" t="str">
        <x:v>scenario_summary_2030.csv</x:v>
      </x:c>
      <x:c r="B134" s="58" t="str">
        <x:v>regime_2030</x:v>
      </x:c>
      <x:c r="C134" s="58" t="str">
        <x:v>object</x:v>
      </x:c>
      <x:c r="D134" s="58" t="str">
        <x:v>Regime 2030.</x:v>
      </x:c>
    </x:row>
    <x:row r="135" ht="15" hidden="0" customHeight="1">
      <x:c r="A135" s="57" t="str">
        <x:v>scenario_summary_2030.csv</x:v>
      </x:c>
      <x:c r="B135" s="57" t="str">
        <x:v>triggers</x:v>
      </x:c>
      <x:c r="C135" s="57" t="str">
        <x:v>object</x:v>
      </x:c>
      <x:c r="D135" s="57" t="str">
        <x:v>Triggers.</x:v>
      </x:c>
    </x:row>
    <x:row r="136" ht="15" hidden="0" customHeight="1">
      <x:c r="A136" s="58" t="str">
        <x:v>scenario_summary_2030.csv</x:v>
      </x:c>
      <x:c r="B136" s="58" t="str">
        <x:v>warnings</x:v>
      </x:c>
      <x:c r="C136" s="58" t="str">
        <x:v>object</x:v>
      </x:c>
      <x:c r="D136" s="58" t="str">
        <x:v>Warnings.</x:v>
      </x:c>
    </x:row>
    <x:row r="137" ht="15" hidden="0" customHeight="1">
      <x:c r="A137" s="57" t="str">
        <x:v>scenario_summary_2030.csv</x:v>
      </x:c>
      <x:c r="B137" s="57" t="str">
        <x:v>p10_2030</x:v>
      </x:c>
      <x:c r="C137" s="57" t="str">
        <x:v>float64</x:v>
      </x:c>
      <x:c r="D137" s="57" t="str">
        <x:v>P10 2030.</x:v>
      </x:c>
    </x:row>
    <x:row r="138" ht="15" hidden="0" customHeight="1">
      <x:c r="A138" s="58" t="str">
        <x:v>scenario_summary_2030.csv</x:v>
      </x:c>
      <x:c r="B138" s="58" t="str">
        <x:v>p50_2030</x:v>
      </x:c>
      <x:c r="C138" s="58" t="str">
        <x:v>float64</x:v>
      </x:c>
      <x:c r="D138" s="58" t="str">
        <x:v>P50 2030.</x:v>
      </x:c>
    </x:row>
    <x:row r="139" ht="15" hidden="0" customHeight="1">
      <x:c r="A139" s="57" t="str">
        <x:v>scenario_summary_2030.csv</x:v>
      </x:c>
      <x:c r="B139" s="57" t="str">
        <x:v>p90_2030</x:v>
      </x:c>
      <x:c r="C139" s="57" t="str">
        <x:v>float64</x:v>
      </x:c>
      <x:c r="D139" s="57" t="str">
        <x:v>P90 2030.</x:v>
      </x:c>
    </x:row>
    <x:row r="140" ht="15" hidden="0" customHeight="1">
      <x:c r="A140" s="58" t="str">
        <x:v>scenario_summary_2030.csv</x:v>
      </x:c>
      <x:c r="B140" s="58" t="str">
        <x:v>classification_basis</x:v>
      </x:c>
      <x:c r="C140" s="58" t="str">
        <x:v>object</x:v>
      </x:c>
      <x:c r="D140" s="58" t="str">
        <x:v>Classification basis.</x:v>
      </x:c>
    </x:row>
    <x:row r="141" ht="15" hidden="0" customHeight="1">
      <x:c r="A141" s="57" t="str">
        <x:v>scenario_trajectories_2025_2030.csv</x:v>
      </x:c>
      <x:c r="B141" s="57" t="str">
        <x:v>scenario_id</x:v>
      </x:c>
      <x:c r="C141" s="57" t="str">
        <x:v>object</x:v>
      </x:c>
      <x:c r="D141" s="57" t="str">
        <x:v>Stable machine-readable scenario identifier.</x:v>
      </x:c>
    </x:row>
    <x:row r="142" ht="15" hidden="0" customHeight="1">
      <x:c r="A142" s="58" t="str">
        <x:v>scenario_trajectories_2025_2030.csv</x:v>
      </x:c>
      <x:c r="B142" s="58" t="str">
        <x:v>scenario_name</x:v>
      </x:c>
      <x:c r="C142" s="58" t="str">
        <x:v>object</x:v>
      </x:c>
      <x:c r="D142" s="58" t="str">
        <x:v>Human-readable scenario name.</x:v>
      </x:c>
    </x:row>
    <x:row r="143" ht="15" hidden="0" customHeight="1">
      <x:c r="A143" s="57" t="str">
        <x:v>scenario_trajectories_2025_2030.csv</x:v>
      </x:c>
      <x:c r="B143" s="57" t="str">
        <x:v>year</x:v>
      </x:c>
      <x:c r="C143" s="57" t="str">
        <x:v>int64</x:v>
      </x:c>
      <x:c r="D143" s="57" t="str">
        <x:v>Calendar or analytical year.</x:v>
      </x:c>
    </x:row>
    <x:row r="144" ht="15" hidden="0" customHeight="1">
      <x:c r="A144" s="58" t="str">
        <x:v>scenario_trajectories_2025_2030.csv</x:v>
      </x:c>
      <x:c r="B144" s="58" t="str">
        <x:v>Proceso electoral y pluralismo</x:v>
      </x:c>
      <x:c r="C144" s="58" t="str">
        <x:v>float64</x:v>
      </x:c>
      <x:c r="D144" s="58" t="str">
        <x:v>Dimensional score on the 0–10 scale; interpret with data_status.</x:v>
      </x:c>
    </x:row>
    <x:row r="145" ht="15" hidden="0" customHeight="1">
      <x:c r="A145" s="57" t="str">
        <x:v>scenario_trajectories_2025_2030.csv</x:v>
      </x:c>
      <x:c r="B145" s="57" t="str">
        <x:v>Funcionamiento del gobierno</x:v>
      </x:c>
      <x:c r="C145" s="57" t="str">
        <x:v>float64</x:v>
      </x:c>
      <x:c r="D145" s="57" t="str">
        <x:v>Dimensional score on the 0–10 scale; interpret with data_status.</x:v>
      </x:c>
    </x:row>
    <x:row r="146" ht="15" hidden="0" customHeight="1">
      <x:c r="A146" s="58" t="str">
        <x:v>scenario_trajectories_2025_2030.csv</x:v>
      </x:c>
      <x:c r="B146" s="58" t="str">
        <x:v>Participación política</x:v>
      </x:c>
      <x:c r="C146" s="58" t="str">
        <x:v>float64</x:v>
      </x:c>
      <x:c r="D146" s="58" t="str">
        <x:v>Dimensional score on the 0–10 scale; interpret with data_status.</x:v>
      </x:c>
    </x:row>
    <x:row r="147" ht="15" hidden="0" customHeight="1">
      <x:c r="A147" s="57" t="str">
        <x:v>scenario_trajectories_2025_2030.csv</x:v>
      </x:c>
      <x:c r="B147" s="57" t="str">
        <x:v>Cultura política</x:v>
      </x:c>
      <x:c r="C147" s="57" t="str">
        <x:v>float64</x:v>
      </x:c>
      <x:c r="D147" s="57" t="str">
        <x:v>Dimensional score on the 0–10 scale; interpret with data_status.</x:v>
      </x:c>
    </x:row>
    <x:row r="148" ht="15" hidden="0" customHeight="1">
      <x:c r="A148" s="58" t="str">
        <x:v>scenario_trajectories_2025_2030.csv</x:v>
      </x:c>
      <x:c r="B148" s="58" t="str">
        <x:v>Libertades civiles</x:v>
      </x:c>
      <x:c r="C148" s="58" t="str">
        <x:v>float64</x:v>
      </x:c>
      <x:c r="D148" s="58" t="str">
        <x:v>Dimensional score on the 0–10 scale; interpret with data_status.</x:v>
      </x:c>
    </x:row>
    <x:row r="149" ht="15" hidden="0" customHeight="1">
      <x:c r="A149" s="57" t="str">
        <x:v>scenario_trajectories_2025_2030.csv</x:v>
      </x:c>
      <x:c r="B149" s="57" t="str">
        <x:v>overall_score</x:v>
      </x:c>
      <x:c r="C149" s="57" t="str">
        <x:v>float64</x:v>
      </x:c>
      <x:c r="D149" s="57" t="str">
        <x:v>Arithmetic mean of the five dimensional values on the 0–10 scale.</x:v>
      </x:c>
    </x:row>
    <x:row r="150" ht="15" hidden="0" customHeight="1">
      <x:c r="A150" s="58" t="str">
        <x:v>scenario_trajectories_2025_2030.csv</x:v>
      </x:c>
      <x:c r="B150" s="58" t="str">
        <x:v>phase</x:v>
      </x:c>
      <x:c r="C150" s="58" t="str">
        <x:v>object</x:v>
      </x:c>
      <x:c r="D150" s="58" t="str">
        <x:v>Phase.</x:v>
      </x:c>
    </x:row>
    <x:row r="151" ht="15" hidden="0" customHeight="1">
      <x:c r="A151" s="57" t="str">
        <x:v>scenario_trajectories_2025_2030.csv</x:v>
      </x:c>
      <x:c r="B151" s="57" t="str">
        <x:v>data_status</x:v>
      </x:c>
      <x:c r="C151" s="57" t="str">
        <x:v>object</x:v>
      </x:c>
      <x:c r="D151" s="57" t="str">
        <x:v>Controlled epistemic-status identifier from data_status_registry.csv.</x:v>
      </x:c>
    </x:row>
    <x:row r="152" ht="15" hidden="0" customHeight="1">
      <x:c r="A152" s="58" t="str">
        <x:v>scenario_trajectories_2025_2030.csv</x:v>
      </x:c>
      <x:c r="B152" s="58" t="str">
        <x:v>regime_type</x:v>
      </x:c>
      <x:c r="C152" s="58" t="str">
        <x:v>object</x:v>
      </x:c>
      <x:c r="D152" s="58" t="str">
        <x:v>Regime type.</x:v>
      </x:c>
    </x:row>
  </x:sheetData>
  <x:mergeCells>
    <x:mergeCell ref="A1:D1"/>
    <x:mergeCell ref="A2:D2"/>
  </x:mergeCells>
  <x:pageMargins left="0.7" right="0.7" top="0.75" bottom="0.75" header="0.3" footer="0.3"/>
  <x:tableParts count="1">
    <x:tablePart xmlns:r="http://schemas.openxmlformats.org/officeDocument/2006/relationships" r:id="R0fb7c8b4ce054098"/>
  </x:tableParts>
</x:worksheet>
</file>