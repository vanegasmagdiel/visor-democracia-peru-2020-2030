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3a38831cecda4fa6" /></Relationships>
</file>

<file path=xl/workbook.xml><?xml version="1.0" encoding="utf-8"?>
<x:workbook xmlns:x="http://schemas.openxmlformats.org/spreadsheetml/2006/main">
  <x:sheets>
    <x:sheet xmlns:r="http://schemas.openxmlformats.org/officeDocument/2006/relationships" name="Dashboard" sheetId="1" r:id="R705ed82066614cc9"/>
    <x:sheet xmlns:r="http://schemas.openxmlformats.org/officeDocument/2006/relationships" name="Serie_2020_2025" sheetId="2" r:id="R2c2968806bec4be7"/>
    <x:sheet xmlns:r="http://schemas.openxmlformats.org/officeDocument/2006/relationships" name="Categorias_2020_2025" sheetId="3" r:id="R5b3a417967e94cfc"/>
    <x:sheet xmlns:r="http://schemas.openxmlformats.org/officeDocument/2006/relationships" name="Ancla_2025_Resumen" sheetId="4" r:id="Rba99ddbeaec740ce"/>
    <x:sheet xmlns:r="http://schemas.openxmlformats.org/officeDocument/2006/relationships" name="Ancla_2025_Muestra" sheetId="5" r:id="Rb7f7388f359a41a0"/>
    <x:sheet xmlns:r="http://schemas.openxmlformats.org/officeDocument/2006/relationships" name="Escenarios_2025_2030" sheetId="6" r:id="R9a88af1646ec41dd"/>
    <x:sheet xmlns:r="http://schemas.openxmlformats.org/officeDocument/2006/relationships" name="Resumen_2030" sheetId="7" r:id="R52e5f90538a9499c"/>
    <x:sheet xmlns:r="http://schemas.openxmlformats.org/officeDocument/2006/relationships" name="Sensibilidad" sheetId="8" r:id="Rbcf75240ff4a4c7e"/>
    <x:sheet xmlns:r="http://schemas.openxmlformats.org/officeDocument/2006/relationships" name="Sensibilidad_Categorias" sheetId="9" r:id="R9c3ad1d2ed4b4068"/>
    <x:sheet xmlns:r="http://schemas.openxmlformats.org/officeDocument/2006/relationships" name="Parametros" sheetId="10" r:id="R364d20c843fc4ea7"/>
    <x:sheet xmlns:r="http://schemas.openxmlformats.org/officeDocument/2006/relationships" name="Evidencia_2026" sheetId="11" r:id="R81a63c95427a4b1a"/>
    <x:sheet xmlns:r="http://schemas.openxmlformats.org/officeDocument/2006/relationships" name="Estados_Dato" sheetId="12" r:id="Rad70e7f764ce433f"/>
    <x:sheet xmlns:r="http://schemas.openxmlformats.org/officeDocument/2006/relationships" name="Metodologia" sheetId="13" r:id="Re9a5c99008bf4ec2"/>
    <x:sheet xmlns:r="http://schemas.openxmlformats.org/officeDocument/2006/relationships" name="Diccionario_Datos" sheetId="14" r:id="R864e6a82a8644501"/>
    <x:sheet xmlns:r="http://schemas.openxmlformats.org/officeDocument/2006/relationships" name="PRISMA_Cierre" sheetId="15" r:id="R9849e56d328c4ac3"/>
    <x:sheet xmlns:r="http://schemas.openxmlformats.org/officeDocument/2006/relationships" name="Fulltext_72" sheetId="16" r:id="R5c57cc17260a47f6"/>
    <x:sheet xmlns:r="http://schemas.openxmlformats.org/officeDocument/2006/relationships" name="Incluidos_29" sheetId="17" r:id="R2af1a588eb5c4e68"/>
    <x:sheet xmlns:r="http://schemas.openxmlformats.org/officeDocument/2006/relationships" name="Excluidos_13" sheetId="18" r:id="Re385ae4bf7aa4646"/>
    <x:sheet xmlns:r="http://schemas.openxmlformats.org/officeDocument/2006/relationships" name="No_recuperados_30" sheetId="19" r:id="R0d9489019c654d21"/>
    <x:sheet xmlns:r="http://schemas.openxmlformats.org/officeDocument/2006/relationships" name="Mapa_Evidencia_29" sheetId="20" r:id="R219133df2eef498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000"/>
    <x:numFmt numFmtId="202" formatCode="#,##0"/>
    <x:numFmt numFmtId="203" formatCode="0"/>
  </x:numFmts>
  <x:fonts count="16">
    <x:font>
      <x:sz val="11"/>
      <x:name val="Carlito"/>
    </x:font>
    <x:font>
      <x:b/>
      <x:sz val="16"/>
      <x:color rgb="FFFFFFFF"/>
      <x:name val="Carlito"/>
    </x:font>
    <x:font>
      <x:i/>
      <x:sz val="10"/>
      <x:color rgb="FF1F2937"/>
      <x:name val="Carlito"/>
    </x:font>
    <x:font>
      <x:b/>
      <x:sz val="10"/>
      <x:color rgb="FFFFFFFF"/>
      <x:name val="Carlito"/>
    </x:font>
    <x:font>
      <x:b/>
      <x:sz val="18"/>
      <x:color rgb="FF173F70"/>
      <x:name val="Carlito"/>
    </x:font>
    <x:font>
      <x:b/>
      <x:sz val="16"/>
      <x:color rgb="FF173F70"/>
      <x:name val="Carlito"/>
    </x:font>
    <x:font>
      <x:b/>
      <x:sz val="11"/>
      <x:color rgb="FF7C2D12"/>
      <x:name val="Carlito"/>
    </x:font>
    <x:font>
      <x:sz val="9"/>
      <x:color rgb="FF1F2937"/>
      <x:name val="Carlito"/>
    </x:font>
    <x:font>
      <x:b/>
      <x:sz val="16"/>
      <x:color rgb="FFFFFFFF"/>
      <x:name val="Aptos"/>
    </x:font>
    <x:font>
      <x:i/>
      <x:sz val="10"/>
      <x:color rgb="FF1F2937"/>
      <x:name val="Aptos"/>
    </x:font>
    <x:font>
      <x:sz val="11"/>
      <x:name val="Aptos"/>
    </x:font>
    <x:font>
      <x:b/>
      <x:sz val="10"/>
      <x:color rgb="FFFFFFFF"/>
      <x:name val="Aptos"/>
    </x:font>
    <x:font>
      <x:b/>
      <x:sz val="18"/>
      <x:color rgb="FF173F70"/>
      <x:name val="Aptos"/>
    </x:font>
    <x:font>
      <x:b/>
      <x:sz val="16"/>
      <x:color rgb="FF173F70"/>
      <x:name val="Aptos"/>
    </x:font>
    <x:font>
      <x:b/>
      <x:sz val="11"/>
      <x:color rgb="FF7C2D12"/>
      <x:name val="Aptos"/>
    </x:font>
    <x:font>
      <x:sz val="9"/>
      <x:color rgb="FF1F2937"/>
      <x:name val="Aptos"/>
    </x:font>
  </x:fonts>
  <x:fills count="9">
    <x:fill>
      <x:patternFill patternType="none"/>
    </x:fill>
    <x:fill>
      <x:patternFill patternType="gray125"/>
    </x:fill>
    <x:fill>
      <x:patternFill patternType="solid">
        <x:fgColor rgb="FF173F70"/>
      </x:patternFill>
    </x:fill>
    <x:fill>
      <x:patternFill patternType="solid">
        <x:fgColor rgb="FFEAF0F7"/>
      </x:patternFill>
    </x:fill>
    <x:fill>
      <x:patternFill patternType="solid">
        <x:fgColor rgb="FFA61B29"/>
      </x:patternFill>
    </x:fill>
    <x:fill>
      <x:patternFill patternType="solid">
        <x:fgColor rgb="FF1F2937"/>
      </x:patternFill>
    </x:fill>
    <x:fill>
      <x:patternFill patternType="solid">
        <x:fgColor rgb="FFFFFFFF"/>
      </x:patternFill>
    </x:fill>
    <x:fill>
      <x:patternFill patternType="solid">
        <x:fgColor rgb="FFFFF7ED"/>
      </x:patternFill>
    </x:fill>
    <x:fill>
      <x:patternFill patternType="solid">
        <x:fgColor rgb="FFF8FAFC"/>
      </x:patternFill>
    </x:fill>
  </x:fills>
  <x:borders count="12">
    <x:border/>
    <x:border>
      <x:left style="thin">
        <x:color rgb="FFFFFFFF"/>
      </x:left>
      <x:right style="thin">
        <x:color rgb="FFFFFFFF"/>
      </x:right>
      <x:top style="thin">
        <x:color rgb="FFFFFFFF"/>
      </x:top>
      <x:bottom style="thin">
        <x:color rgb="FFFFFFFF"/>
      </x:bottom>
    </x:border>
    <x:border>
      <x:left style="thin">
        <x:color rgb="FFCBD5E1"/>
      </x:left>
      <x:right style="thin">
        <x:color rgb="FFCBD5E1"/>
      </x:right>
      <x:top style="thin">
        <x:color rgb="FFCBD5E1"/>
      </x:top>
      <x:bottom style="thin">
        <x:color rgb="FFCBD5E1"/>
      </x:bottom>
    </x:border>
    <x:border>
      <x:left style="medium">
        <x:color rgb="FFE67E22"/>
      </x:left>
      <x:top style="medium">
        <x:color rgb="FFE67E22"/>
      </x:top>
    </x:border>
    <x:border>
      <x:top style="medium">
        <x:color rgb="FFE67E22"/>
      </x:top>
    </x:border>
    <x:border>
      <x:right style="medium">
        <x:color rgb="FFE67E22"/>
      </x:right>
      <x:top style="medium">
        <x:color rgb="FFE67E22"/>
      </x:top>
    </x:border>
    <x:border>
      <x:left style="medium">
        <x:color rgb="FFE67E22"/>
      </x:left>
    </x:border>
    <x:border>
      <x:right style="medium">
        <x:color rgb="FFE67E22"/>
      </x:right>
    </x:border>
    <x:border>
      <x:left style="medium">
        <x:color rgb="FFE67E22"/>
      </x:left>
      <x:bottom style="medium">
        <x:color rgb="FFE67E22"/>
      </x:bottom>
    </x:border>
    <x:border>
      <x:bottom style="medium">
        <x:color rgb="FFE67E22"/>
      </x:bottom>
    </x:border>
    <x:border>
      <x:right style="medium">
        <x:color rgb="FFE67E22"/>
      </x:right>
      <x:bottom style="medium">
        <x:color rgb="FFE67E22"/>
      </x:bottom>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0" fillId="6" borderId="0" xfId="0" applyNumberFormat="1" applyFont="1" applyFill="1" applyBorder="1"/>
    <x:xf numFmtId="0" fontId="4" fillId="6" borderId="0" xfId="0" applyNumberFormat="1" applyFont="1" applyFill="1" applyBorder="1"/>
    <x:xf numFmtId="0" fontId="4" fillId="6" borderId="2" xfId="0" applyNumberFormat="1" applyFont="1" applyFill="1" applyBorder="1"/>
    <x:xf numFmtId="200" fontId="4" fillId="6" borderId="2" xfId="0" applyNumberFormat="1" applyFont="1" applyFill="1" applyBorder="1"/>
    <x:xf numFmtId="200" fontId="4" fillId="6" borderId="2" xfId="0" applyNumberFormat="1" applyFont="1" applyFill="1" applyBorder="1" applyAlignment="1">
      <x:alignment horizontal="center"/>
    </x:xf>
    <x:xf numFmtId="0" fontId="5" fillId="6" borderId="0" xfId="0" applyNumberFormat="1" applyFont="1" applyFill="1" applyBorder="1"/>
    <x:xf numFmtId="0" fontId="5" fillId="6" borderId="2" xfId="0" applyNumberFormat="1" applyFont="1" applyFill="1" applyBorder="1"/>
    <x:xf numFmtId="201" fontId="5" fillId="6" borderId="2" xfId="0" applyNumberFormat="1" applyFont="1" applyFill="1" applyBorder="1"/>
    <x:xf numFmtId="201" fontId="5" fillId="6" borderId="2" xfId="0" applyNumberFormat="1" applyFont="1" applyFill="1" applyBorder="1" applyAlignment="1">
      <x:alignment horizontal="center"/>
    </x:xf>
    <x:xf numFmtId="202" fontId="5" fillId="6" borderId="2" xfId="0" applyNumberFormat="1" applyFont="1" applyFill="1" applyBorder="1"/>
    <x:xf numFmtId="202" fontId="5" fillId="6" borderId="2" xfId="0" applyNumberFormat="1" applyFont="1" applyFill="1" applyBorder="1" applyAlignment="1">
      <x:alignment horizontal="center"/>
    </x:xf>
    <x:xf numFmtId="0" fontId="0" fillId="7" borderId="0" xfId="0" applyNumberFormat="1" applyFont="1" applyFill="1" applyBorder="1"/>
    <x:xf numFmtId="0" fontId="6" fillId="7" borderId="0" xfId="0" applyNumberFormat="1" applyFont="1" applyFill="1" applyBorder="1"/>
    <x:xf numFmtId="0" fontId="6" fillId="7" borderId="3" xfId="0" applyNumberFormat="1" applyFont="1" applyFill="1" applyBorder="1"/>
    <x:xf numFmtId="0" fontId="6" fillId="7" borderId="4" xfId="0" applyNumberFormat="1" applyFont="1" applyFill="1" applyBorder="1"/>
    <x:xf numFmtId="0" fontId="6" fillId="7" borderId="5" xfId="0" applyNumberFormat="1" applyFont="1" applyFill="1" applyBorder="1"/>
    <x:xf numFmtId="0" fontId="6" fillId="7" borderId="6" xfId="0" applyNumberFormat="1" applyFont="1" applyFill="1" applyBorder="1"/>
    <x:xf numFmtId="0" fontId="6" fillId="7" borderId="7" xfId="0" applyNumberFormat="1" applyFont="1" applyFill="1" applyBorder="1"/>
    <x:xf numFmtId="0" fontId="6" fillId="7" borderId="8" xfId="0" applyNumberFormat="1" applyFont="1" applyFill="1" applyBorder="1"/>
    <x:xf numFmtId="0" fontId="6" fillId="7" borderId="9" xfId="0" applyNumberFormat="1" applyFont="1" applyFill="1" applyBorder="1"/>
    <x:xf numFmtId="0" fontId="6" fillId="7" borderId="10" xfId="0" applyNumberFormat="1" applyFont="1" applyFill="1" applyBorder="1"/>
    <x:xf numFmtId="0" fontId="6" fillId="7" borderId="3" xfId="0" applyNumberFormat="1" applyFont="1" applyFill="1" applyBorder="1" applyAlignment="1">
      <x:alignment wrapText="1"/>
    </x:xf>
    <x:xf numFmtId="0" fontId="6" fillId="7" borderId="4" xfId="0" applyNumberFormat="1" applyFont="1" applyFill="1" applyBorder="1" applyAlignment="1">
      <x:alignment wrapText="1"/>
    </x:xf>
    <x:xf numFmtId="0" fontId="6" fillId="7" borderId="5" xfId="0" applyNumberFormat="1" applyFont="1" applyFill="1" applyBorder="1" applyAlignment="1">
      <x:alignment wrapText="1"/>
    </x:xf>
    <x:xf numFmtId="0" fontId="6" fillId="7" borderId="6"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7" xfId="0" applyNumberFormat="1" applyFont="1" applyFill="1" applyBorder="1" applyAlignment="1">
      <x:alignment wrapText="1"/>
    </x:xf>
    <x:xf numFmtId="0" fontId="6" fillId="7" borderId="8" xfId="0" applyNumberFormat="1" applyFont="1" applyFill="1" applyBorder="1" applyAlignment="1">
      <x:alignment wrapText="1"/>
    </x:xf>
    <x:xf numFmtId="0" fontId="6" fillId="7" borderId="9" xfId="0" applyNumberFormat="1" applyFont="1" applyFill="1" applyBorder="1" applyAlignment="1">
      <x:alignment wrapText="1"/>
    </x:xf>
    <x:xf numFmtId="0" fontId="6" fillId="7" borderId="10" xfId="0" applyNumberFormat="1" applyFont="1" applyFill="1" applyBorder="1" applyAlignment="1">
      <x:alignment wrapText="1"/>
    </x:xf>
    <x:xf numFmtId="0" fontId="6" fillId="7" borderId="3" xfId="0" applyNumberFormat="1" applyFont="1" applyFill="1" applyBorder="1" applyAlignment="1">
      <x:alignment vertical="center" wrapText="1"/>
    </x:xf>
    <x:xf numFmtId="0" fontId="6" fillId="7" borderId="4" xfId="0" applyNumberFormat="1" applyFont="1" applyFill="1" applyBorder="1" applyAlignment="1">
      <x:alignment vertical="center" wrapText="1"/>
    </x:xf>
    <x:xf numFmtId="0" fontId="6" fillId="7" borderId="5" xfId="0" applyNumberFormat="1" applyFont="1" applyFill="1" applyBorder="1" applyAlignment="1">
      <x:alignment vertical="center" wrapText="1"/>
    </x:xf>
    <x:xf numFmtId="0" fontId="6" fillId="7" borderId="6" xfId="0" applyNumberFormat="1" applyFont="1" applyFill="1" applyBorder="1" applyAlignment="1">
      <x:alignment vertical="center" wrapText="1"/>
    </x:xf>
    <x:xf numFmtId="0" fontId="6" fillId="7" borderId="0" xfId="0" applyNumberFormat="1" applyFont="1" applyFill="1" applyBorder="1" applyAlignment="1">
      <x:alignment vertical="center" wrapText="1"/>
    </x:xf>
    <x:xf numFmtId="0" fontId="6" fillId="7" borderId="7" xfId="0" applyNumberFormat="1" applyFont="1" applyFill="1" applyBorder="1" applyAlignment="1">
      <x:alignment vertical="center" wrapText="1"/>
    </x:xf>
    <x:xf numFmtId="0" fontId="6" fillId="7" borderId="8" xfId="0" applyNumberFormat="1" applyFont="1" applyFill="1" applyBorder="1" applyAlignment="1">
      <x:alignment vertical="center" wrapText="1"/>
    </x:xf>
    <x:xf numFmtId="0" fontId="6" fillId="7" borderId="9" xfId="0" applyNumberFormat="1" applyFont="1" applyFill="1" applyBorder="1" applyAlignment="1">
      <x:alignment vertical="center" wrapText="1"/>
    </x:xf>
    <x:xf numFmtId="0" fontId="6" fillId="7" borderId="10" xfId="0" applyNumberFormat="1" applyFont="1" applyFill="1" applyBorder="1" applyAlignment="1">
      <x:alignment vertical="center" wrapText="1"/>
    </x:xf>
    <x:xf numFmtId="0" fontId="7" fillId="0" borderId="0" xfId="0" applyNumberFormat="1" applyFont="1" applyFill="1" applyBorder="1"/>
    <x:xf numFmtId="0" fontId="7" fillId="0" borderId="11" xfId="0" applyNumberFormat="1" applyFont="1" applyFill="1" applyBorder="1"/>
    <x:xf numFmtId="0" fontId="7" fillId="0" borderId="11" xfId="0" applyNumberFormat="1" applyFont="1" applyFill="1" applyBorder="1" applyAlignment="1">
      <x:alignment wrapText="0"/>
    </x:xf>
    <x:xf numFmtId="0" fontId="7" fillId="0" borderId="11" xfId="0" applyNumberFormat="1" applyFont="1" applyFill="1" applyBorder="1" applyAlignment="1">
      <x:alignment vertical="top" wrapText="0"/>
    </x:xf>
    <x:xf numFmtId="0" fontId="7" fillId="8" borderId="11" xfId="0" applyNumberFormat="1" applyFont="1" applyFill="1" applyBorder="1" applyAlignment="1">
      <x:alignment vertical="top" wrapText="0"/>
    </x:xf>
    <x:xf numFmtId="201" fontId="7" fillId="8" borderId="11" xfId="0" applyNumberFormat="1" applyFont="1" applyFill="1" applyBorder="1" applyAlignment="1">
      <x:alignment vertical="top" wrapText="0"/>
    </x:xf>
    <x:xf numFmtId="201" fontId="7" fillId="0" borderId="11" xfId="0" applyNumberFormat="1" applyFont="1" applyFill="1" applyBorder="1" applyAlignment="1">
      <x:alignment vertical="top" wrapText="0"/>
    </x:xf>
    <x:xf numFmtId="200" fontId="7" fillId="8" borderId="11" xfId="0" applyNumberFormat="1" applyFont="1" applyFill="1" applyBorder="1" applyAlignment="1">
      <x:alignment vertical="top" wrapText="0"/>
    </x:xf>
    <x:xf numFmtId="200" fontId="7" fillId="0" borderId="11" xfId="0" applyNumberFormat="1" applyFont="1" applyFill="1" applyBorder="1" applyAlignment="1">
      <x:alignment vertical="top" wrapText="0"/>
    </x:xf>
    <x:xf numFmtId="0" fontId="8" fillId="2" borderId="0" xfId="0" applyNumberFormat="1" applyFont="1" applyFill="1" applyBorder="1" applyAlignment="1">
      <x:alignment vertical="center"/>
    </x:xf>
    <x:xf numFmtId="0" fontId="9" fillId="3" borderId="0" xfId="0" applyNumberFormat="1" applyFont="1" applyFill="1" applyBorder="1" applyAlignment="1">
      <x:alignment vertical="center" wrapText="1"/>
    </x:xf>
    <x:xf numFmtId="0" fontId="10" fillId="4" borderId="0" xfId="0" applyNumberFormat="1" applyFont="1" applyFill="1" applyBorder="1"/>
    <x:xf numFmtId="0" fontId="10" fillId="0" borderId="0" xfId="0" applyNumberFormat="1" applyFont="1" applyFill="1" applyBorder="1"/>
    <x:xf numFmtId="0" fontId="11" fillId="5" borderId="1" xfId="0" applyNumberFormat="1" applyFont="1" applyFill="1" applyBorder="1" applyAlignment="1">
      <x:alignment horizontal="center" vertical="center" wrapText="1"/>
    </x:xf>
    <x:xf numFmtId="200" fontId="12" fillId="6" borderId="2" xfId="0" applyNumberFormat="1" applyFont="1" applyFill="1" applyBorder="1" applyAlignment="1">
      <x:alignment horizontal="center"/>
    </x:xf>
    <x:xf numFmtId="201" fontId="13" fillId="6" borderId="2" xfId="0" applyNumberFormat="1" applyFont="1" applyFill="1" applyBorder="1" applyAlignment="1">
      <x:alignment horizontal="center"/>
    </x:xf>
    <x:xf numFmtId="202" fontId="13" fillId="6" borderId="2" xfId="0" applyNumberFormat="1" applyFont="1" applyFill="1" applyBorder="1" applyAlignment="1">
      <x:alignment horizontal="center"/>
    </x:xf>
    <x:xf numFmtId="0" fontId="14" fillId="7" borderId="3" xfId="0" applyNumberFormat="1" applyFont="1" applyFill="1" applyBorder="1" applyAlignment="1">
      <x:alignment vertical="center" wrapText="1"/>
    </x:xf>
    <x:xf numFmtId="0" fontId="14" fillId="7" borderId="4" xfId="0" applyNumberFormat="1" applyFont="1" applyFill="1" applyBorder="1" applyAlignment="1">
      <x:alignment vertical="center" wrapText="1"/>
    </x:xf>
    <x:xf numFmtId="0" fontId="14" fillId="7" borderId="5" xfId="0" applyNumberFormat="1" applyFont="1" applyFill="1" applyBorder="1" applyAlignment="1">
      <x:alignment vertical="center" wrapText="1"/>
    </x:xf>
    <x:xf numFmtId="0" fontId="14" fillId="7" borderId="6" xfId="0" applyNumberFormat="1" applyFont="1" applyFill="1" applyBorder="1" applyAlignment="1">
      <x:alignment vertical="center" wrapText="1"/>
    </x:xf>
    <x:xf numFmtId="0" fontId="14" fillId="7" borderId="0" xfId="0" applyNumberFormat="1" applyFont="1" applyFill="1" applyBorder="1" applyAlignment="1">
      <x:alignment vertical="center" wrapText="1"/>
    </x:xf>
    <x:xf numFmtId="0" fontId="14" fillId="7" borderId="7" xfId="0" applyNumberFormat="1" applyFont="1" applyFill="1" applyBorder="1" applyAlignment="1">
      <x:alignment vertical="center" wrapText="1"/>
    </x:xf>
    <x:xf numFmtId="0" fontId="14" fillId="7" borderId="8" xfId="0" applyNumberFormat="1" applyFont="1" applyFill="1" applyBorder="1" applyAlignment="1">
      <x:alignment vertical="center" wrapText="1"/>
    </x:xf>
    <x:xf numFmtId="0" fontId="14" fillId="7" borderId="9" xfId="0" applyNumberFormat="1" applyFont="1" applyFill="1" applyBorder="1" applyAlignment="1">
      <x:alignment vertical="center" wrapText="1"/>
    </x:xf>
    <x:xf numFmtId="0" fontId="14" fillId="7" borderId="10" xfId="0" applyNumberFormat="1" applyFont="1" applyFill="1" applyBorder="1" applyAlignment="1">
      <x:alignment vertical="center" wrapText="1"/>
    </x:xf>
    <x:xf numFmtId="0" fontId="15" fillId="8" borderId="11" xfId="0" applyNumberFormat="1" applyFont="1" applyFill="1" applyBorder="1" applyAlignment="1">
      <x:alignment vertical="top" wrapText="0"/>
    </x:xf>
    <x:xf numFmtId="201" fontId="15" fillId="8" borderId="11" xfId="0" applyNumberFormat="1" applyFont="1" applyFill="1" applyBorder="1" applyAlignment="1">
      <x:alignment vertical="top" wrapText="0"/>
    </x:xf>
    <x:xf numFmtId="0" fontId="15" fillId="0" borderId="11" xfId="0" applyNumberFormat="1" applyFont="1" applyFill="1" applyBorder="1" applyAlignment="1">
      <x:alignment vertical="top" wrapText="0"/>
    </x:xf>
    <x:xf numFmtId="201" fontId="15" fillId="0" borderId="11" xfId="0" applyNumberFormat="1" applyFont="1" applyFill="1" applyBorder="1" applyAlignment="1">
      <x:alignment vertical="top" wrapText="0"/>
    </x:xf>
    <x:xf numFmtId="0" fontId="0" fillId="0" borderId="0" xfId="0">
      <x:extLst>
        <x:ext uri="{C7286773-470A-42A8-94C5-96B5CB345126}">
          <xfpb:xfComplement xmlns:xfpb="http://schemas.microsoft.com/office/spreadsheetml/2022/featurepropertybag" i="0"/>
        </x:ext>
      </x:extLst>
    </x:xf>
    <x:xf numFmtId="0" fontId="7" fillId="0" borderId="0" xfId="0" applyNumberFormat="1" applyFont="1" applyFill="1" applyBorder="1">
      <x:extLst>
        <x:ext uri="{C7286773-470A-42A8-94C5-96B5CB345126}">
          <xfpb:xfComplement xmlns:xfpb="http://schemas.microsoft.com/office/spreadsheetml/2022/featurepropertybag" i="0"/>
        </x:ext>
      </x:extLst>
    </x:xf>
    <x:xf numFmtId="0" fontId="7" fillId="0" borderId="11" xfId="0" applyNumberFormat="1" applyFont="1" applyFill="1" applyBorder="1">
      <x:extLst>
        <x:ext uri="{C7286773-470A-42A8-94C5-96B5CB345126}">
          <xfpb:xfComplement xmlns:xfpb="http://schemas.microsoft.com/office/spreadsheetml/2022/featurepropertybag" i="0"/>
        </x:ext>
      </x:extLst>
    </x:xf>
    <x:xf numFmtId="0" fontId="7" fillId="0" borderId="11" xfId="0" applyNumberFormat="1" applyFont="1" applyFill="1" applyBorder="1" applyAlignment="1">
      <x:alignment wrapText="0"/>
      <x:extLst>
        <x:ext uri="{C7286773-470A-42A8-94C5-96B5CB345126}">
          <xfpb:xfComplement xmlns:xfpb="http://schemas.microsoft.com/office/spreadsheetml/2022/featurepropertybag" i="0"/>
        </x:ext>
      </x:extLst>
    </x:xf>
    <x:xf numFmtId="0" fontId="7" fillId="0" borderId="11"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0" fontId="7" fillId="8" borderId="11"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203" fontId="7" fillId="8" borderId="11" xfId="0" applyNumberFormat="1" applyFont="1" applyFill="1" applyBorder="1" applyAlignment="1">
      <x:alignment vertical="top" wrapText="0"/>
    </x:xf>
    <x:xf numFmtId="203" fontId="7" fillId="0" borderId="11"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4e06b6c4cb4685" /><Relationship Type="http://schemas.openxmlformats.org/officeDocument/2006/relationships/theme" Target="/xl/theme/theme1.xml" Id="R6b3e5790a6d24062" /><Relationship Type="http://schemas.microsoft.com/office/2022/11/relationships/FeaturePropertyBag" Target="/xl/featurePropertyBag/featurePropertyBag.xml" Id="R7b5422d8c9e54a0f" /><Relationship Type="http://schemas.openxmlformats.org/officeDocument/2006/relationships/sharedStrings" Target="/xl/sharedStrings.xml" Id="R826a54b5a0ae41d6" /><Relationship Type="http://schemas.openxmlformats.org/officeDocument/2006/relationships/worksheet" Target="/xl/worksheets/sheet1.xml" Id="R705ed82066614cc9" /><Relationship Type="http://schemas.openxmlformats.org/officeDocument/2006/relationships/worksheet" Target="/xl/worksheets/sheet2.xml" Id="R2c2968806bec4be7" /><Relationship Type="http://schemas.openxmlformats.org/officeDocument/2006/relationships/worksheet" Target="/xl/worksheets/sheet3.xml" Id="R5b3a417967e94cfc" /><Relationship Type="http://schemas.openxmlformats.org/officeDocument/2006/relationships/worksheet" Target="/xl/worksheets/sheet4.xml" Id="Rba99ddbeaec740ce" /><Relationship Type="http://schemas.openxmlformats.org/officeDocument/2006/relationships/worksheet" Target="/xl/worksheets/sheet5.xml" Id="Rb7f7388f359a41a0" /><Relationship Type="http://schemas.openxmlformats.org/officeDocument/2006/relationships/worksheet" Target="/xl/worksheets/sheet6.xml" Id="R9a88af1646ec41dd" /><Relationship Type="http://schemas.openxmlformats.org/officeDocument/2006/relationships/worksheet" Target="/xl/worksheets/sheet7.xml" Id="R52e5f90538a9499c" /><Relationship Type="http://schemas.openxmlformats.org/officeDocument/2006/relationships/worksheet" Target="/xl/worksheets/sheet8.xml" Id="Rbcf75240ff4a4c7e" /><Relationship Type="http://schemas.openxmlformats.org/officeDocument/2006/relationships/worksheet" Target="/xl/worksheets/sheet9.xml" Id="R9c3ad1d2ed4b4068" /><Relationship Type="http://schemas.openxmlformats.org/officeDocument/2006/relationships/worksheet" Target="/xl/worksheets/sheet10.xml" Id="R364d20c843fc4ea7" /><Relationship Type="http://schemas.openxmlformats.org/officeDocument/2006/relationships/worksheet" Target="/xl/worksheets/sheet11.xml" Id="R81a63c95427a4b1a" /><Relationship Type="http://schemas.openxmlformats.org/officeDocument/2006/relationships/worksheet" Target="/xl/worksheets/sheet12.xml" Id="Rad70e7f764ce433f" /><Relationship Type="http://schemas.openxmlformats.org/officeDocument/2006/relationships/worksheet" Target="/xl/worksheets/sheet13.xml" Id="Re9a5c99008bf4ec2" /><Relationship Type="http://schemas.openxmlformats.org/officeDocument/2006/relationships/worksheet" Target="/xl/worksheets/sheet14.xml" Id="R864e6a82a8644501" /><Relationship Type="http://schemas.openxmlformats.org/officeDocument/2006/relationships/worksheet" Target="/xl/worksheets/sheet15.xml" Id="R9849e56d328c4ac3" /><Relationship Type="http://schemas.openxmlformats.org/officeDocument/2006/relationships/worksheet" Target="/xl/worksheets/sheet16.xml" Id="R5c57cc17260a47f6" /><Relationship Type="http://schemas.openxmlformats.org/officeDocument/2006/relationships/worksheet" Target="/xl/worksheets/sheet17.xml" Id="R2af1a588eb5c4e68" /><Relationship Type="http://schemas.openxmlformats.org/officeDocument/2006/relationships/worksheet" Target="/xl/worksheets/sheet18.xml" Id="Re385ae4bf7aa4646" /><Relationship Type="http://schemas.openxmlformats.org/officeDocument/2006/relationships/worksheet" Target="/xl/worksheets/sheet19.xml" Id="R0d9489019c654d21" /><Relationship Type="http://schemas.openxmlformats.org/officeDocument/2006/relationships/worksheet" Target="/xl/worksheets/sheet20.xml" Id="R219133df2eef4985" /><Relationship Type="http://schemas.microsoft.com/office/2017/10/relationships/person" Target="/xl/persons/person.xml" Id="Rbab12419b92941c8" /></Relationships>
</file>

<file path=xl/drawings/_rels/drawing1.xml.rels>&#65279;<?xml version="1.0" encoding="utf-8"?><Relationships xmlns="http://schemas.openxmlformats.org/package/2006/relationships"><Relationship Type="http://schemas.openxmlformats.org/officeDocument/2006/relationships/chart" Target="/xl/drawings/charts/chart1.xml" Id="R84db63b558744580" /></Relationships>
</file>

<file path=xl/drawings/_rels/drawing2.xml.rels>&#65279;<?xml version="1.0" encoding="utf-8"?><Relationships xmlns="http://schemas.openxmlformats.org/package/2006/relationships"><Relationship Type="http://schemas.openxmlformats.org/officeDocument/2006/relationships/chart" Target="/xl/drawings/charts/chart2.xml" Id="R334270cb9c984b1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Tres trayectorias 2025–2030</a:t>
            </a:r>
          </a:p>
        </c:rich>
      </c:tx>
      <c:overlay val="0"/>
    </c:title>
    <c:plotArea>
      <c:lineChart>
        <c:grouping val="standard"/>
        <c:varyColors val="0"/>
        <c:ser>
          <c:idx val="0"/>
          <c:order val="0"/>
          <c:tx>
            <c:v>Recuperación institucional</c:v>
          </c:tx>
          <c:marker>
            <c:symbol val="none"/>
          </c:marker>
          <c:cat>
            <c:strRef>
              <c:f>'Dashboard'!$A$17:$A$22</c:f>
              <c:strCache>
                <c:ptCount val="0"/>
              </c:strCache>
            </c:strRef>
          </c:cat>
          <c:val>
            <c:numRef>
              <c:f>'Dashboard'!$B$17:$B$22</c:f>
              <c:numCache>
                <c:formatCode>0.000</c:formatCode>
                <c:ptCount val="0"/>
              </c:numCache>
            </c:numRef>
          </c:val>
          <c:smooth val="0"/>
        </c:ser>
        <c:ser>
          <c:idx val="1"/>
          <c:order val="1"/>
          <c:tx>
            <c:v>Continuidad híbrida</c:v>
          </c:tx>
          <c:marker>
            <c:symbol val="none"/>
          </c:marker>
          <c:cat>
            <c:strRef>
              <c:f>'Dashboard'!$A$17:$A$22</c:f>
              <c:strCache>
                <c:ptCount val="0"/>
              </c:strCache>
            </c:strRef>
          </c:cat>
          <c:val>
            <c:numRef>
              <c:f>'Dashboard'!$C$17:$C$22</c:f>
              <c:numCache>
                <c:formatCode>0.000</c:formatCode>
                <c:ptCount val="0"/>
              </c:numCache>
            </c:numRef>
          </c:val>
          <c:smooth val="0"/>
        </c:ser>
        <c:ser>
          <c:idx val="2"/>
          <c:order val="2"/>
          <c:tx>
            <c:v>Deriva restrictiva</c:v>
          </c:tx>
          <c:marker>
            <c:symbol val="none"/>
          </c:marker>
          <c:cat>
            <c:strRef>
              <c:f>'Dashboard'!$A$17:$A$22</c:f>
              <c:strCache>
                <c:ptCount val="0"/>
              </c:strCache>
            </c:strRef>
          </c:cat>
          <c:val>
            <c:numRef>
              <c:f>'Dashboard'!$D$17:$D$22</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6.4"/>
          <c:min val="5.1"/>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Índice de democracia 2020–2025</a:t>
            </a:r>
          </a:p>
        </c:rich>
      </c:tx>
      <c:overlay val="0"/>
    </c:title>
    <c:plotArea>
      <c:lineChart>
        <c:grouping val="standard"/>
        <c:varyColors val="0"/>
        <c:ser>
          <c:idx val="0"/>
          <c:order val="0"/>
          <c:tx>
            <c:v>peru_score</c:v>
          </c:tx>
          <c:marker>
            <c:symbol val="none"/>
          </c:marker>
          <c:cat>
            <c:strRef>
              <c:f>'Serie_2020_2025'!$A$6:$A$11</c:f>
              <c:strCache>
                <c:ptCount val="0"/>
              </c:strCache>
            </c:strRef>
          </c:cat>
          <c:val>
            <c:numRef>
              <c:f>'Serie_2020_2025'!$B$6:$B$11</c:f>
              <c:numCache>
                <c:formatCode>0.000</c:formatCode>
                <c:ptCount val="0"/>
              </c:numCache>
            </c:numRef>
          </c:val>
          <c:smooth val="0"/>
        </c:ser>
        <c:ser>
          <c:idx val="1"/>
          <c:order val="1"/>
          <c:tx>
            <c:v>latin_america_score</c:v>
          </c:tx>
          <c:marker>
            <c:symbol val="none"/>
          </c:marker>
          <c:cat>
            <c:strRef>
              <c:f>'Serie_2020_2025'!$A$6:$A$11</c:f>
              <c:strCache>
                <c:ptCount val="0"/>
              </c:strCache>
            </c:strRef>
          </c:cat>
          <c:val>
            <c:numRef>
              <c:f>'Serie_2020_2025'!$C$6:$C$11</c:f>
              <c:numCache>
                <c:formatCode>0.000</c:formatCode>
                <c:ptCount val="0"/>
              </c:numCache>
            </c:numRef>
          </c:val>
          <c:smooth val="0"/>
        </c:ser>
        <c:ser>
          <c:idx val="2"/>
          <c:order val="2"/>
          <c:tx>
            <c:v>world_score</c:v>
          </c:tx>
          <c:marker>
            <c:symbol val="none"/>
          </c:marker>
          <c:cat>
            <c:strRef>
              <c:f>'Serie_2020_2025'!$A$6:$A$11</c:f>
              <c:strCache>
                <c:ptCount val="0"/>
              </c:strCache>
            </c:strRef>
          </c:cat>
          <c:val>
            <c:numRef>
              <c:f>'Serie_2020_2025'!$D$6:$D$11</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6.7"/>
          <c:min val="5"/>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4</xdr:row>
      <xdr:rowOff>0</xdr:rowOff>
    </xdr:from>
    <xdr:to>
      <xdr:col>16</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4db63b558744580"/>
        </a:graphicData>
      </a:graphic>
    </xdr:graphicFrame>
    <xdr:clientData/>
  </xdr:twoCellAnchor>
</xdr:wsDr>
</file>

<file path=xl/drawings/drawing2.xml><?xml version="1.0" encoding="utf-8"?>
<xdr:wsDr xmlns:xdr="http://schemas.openxmlformats.org/drawingml/2006/spreadsheetDrawing">
  <xdr:twoCellAnchor>
    <xdr:from>
      <xdr:col>17</xdr:col>
      <xdr:colOff>0</xdr:colOff>
      <xdr:row>4</xdr:row>
      <xdr:rowOff>0</xdr:rowOff>
    </xdr:from>
    <xdr:to>
      <xdr:col>30</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4270cb9c984b12"/>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Magdiel Torres Vanegas" id="{DED34BDD-3D24-4AA7-90FC-A518730F450B}"/>
</xltc:personList>
</file>

<file path=xl/tables/table1.xml><?xml version="1.0" encoding="utf-8"?>
<x:table xmlns:x="http://schemas.openxmlformats.org/spreadsheetml/2006/main" id="1" name="SerieOverall" displayName="SerieOverall" ref="A5:P11" headerRowCount="1" totalsRowCount="0" totalsRowShown="0">
  <x:tableColumns count="16">
    <x:tableColumn id="1" name="year"/>
    <x:tableColumn id="2" name="peru_score"/>
    <x:tableColumn id="3" name="latin_america_score"/>
    <x:tableColumn id="4" name="world_score"/>
    <x:tableColumn id="5" name="peru_regime_type"/>
    <x:tableColumn id="6" name="peru_minus_latam"/>
    <x:tableColumn id="7" name="peru_minus_world"/>
    <x:tableColumn id="8" name="latam_minus_world"/>
    <x:tableColumn id="9" name="peru_pct_change_vs_2020"/>
    <x:tableColumn id="10" name="latin_america_pct_change_vs_2020"/>
    <x:tableColumn id="11" name="world_pct_change_vs_2020"/>
    <x:tableColumn id="12" name="source_peru"/>
    <x:tableColumn id="13" name="source_latam"/>
    <x:tableColumn id="14" name="source_world"/>
    <x:tableColumn id="15" name="peru_rank"/>
    <x:tableColumn id="16" name="data_status_peru"/>
  </x:tableColumns>
  <x:tableStyleInfo name="TableStyleMedium2" showFirstColumn="0" showLastColumn="0" showRowStripes="1" showColumnStripes="0"/>
</x:table>
</file>

<file path=xl/tables/table2.xml><?xml version="1.0" encoding="utf-8"?>
<x:table xmlns:x="http://schemas.openxmlformats.org/spreadsheetml/2006/main" id="2" name="Categorias" displayName="Categorias" ref="A5:O35" headerRowCount="1" totalsRowCount="0" totalsRowShown="0">
  <x:tableColumns count="15">
    <x:tableColumn id="1" name="year"/>
    <x:tableColumn id="2" name="category"/>
    <x:tableColumn id="3" name="category_full"/>
    <x:tableColumn id="4" name="peru_score"/>
    <x:tableColumn id="5" name="latin_america_score"/>
    <x:tableColumn id="6" name="world_score"/>
    <x:tableColumn id="7" name="peru_minus_latam"/>
    <x:tableColumn id="8" name="peru_minus_world"/>
    <x:tableColumn id="9" name="latam_minus_world"/>
    <x:tableColumn id="10" name="source_peru"/>
    <x:tableColumn id="11" name="source_latam"/>
    <x:tableColumn id="12" name="source_world"/>
    <x:tableColumn id="13" name="data_status_peru"/>
    <x:tableColumn id="14" name="data_status_latam"/>
    <x:tableColumn id="15" name="data_status_world"/>
  </x:tableColumns>
  <x:tableStyleInfo name="TableStyleMedium2" showFirstColumn="0" showLastColumn="0" showRowStripes="1" showColumnStripes="0"/>
</x:table>
</file>

<file path=xl/tables/table3.xml><?xml version="1.0" encoding="utf-8"?>
<x:table xmlns:x="http://schemas.openxmlformats.org/spreadsheetml/2006/main" id="3" name="AnclaResumen" displayName="AnclaResumen" ref="A5:M10" headerRowCount="1" totalsRowCount="0" totalsRowShown="0">
  <x:tableColumns count="13">
    <x:tableColumn id="1" name="category_full"/>
    <x:tableColumn id="2" name="category_es"/>
    <x:tableColumn id="3" name="peru_2024_official_source_observed"/>
    <x:tableColumn id="4" name="central_anchor_2025"/>
    <x:tableColumn id="5" name="anchor_sigma"/>
    <x:tableColumn id="6" name="admissible_low"/>
    <x:tableColumn id="7" name="p10"/>
    <x:tableColumn id="8" name="p50"/>
    <x:tableColumn id="9" name="p90"/>
    <x:tableColumn id="10" name="admissible_high"/>
    <x:tableColumn id="11" name="overall_constraint"/>
    <x:tableColumn id="12" name="data_status"/>
    <x:tableColumn id="13" name="interpretation"/>
  </x:tableColumns>
  <x:tableStyleInfo name="TableStyleMedium2" showFirstColumn="0" showLastColumn="0" showRowStripes="1" showColumnStripes="0"/>
</x:table>
</file>

<file path=xl/tables/table4.xml><?xml version="1.0" encoding="utf-8"?>
<x:table xmlns:x="http://schemas.openxmlformats.org/spreadsheetml/2006/main" id="4" name="AnclaMuestra" displayName="AnclaMuestra" ref="A5:H505" headerRowCount="1" totalsRowCount="0" totalsRowShown="0">
  <x:tableColumns count="8">
    <x:tableColumn id="1" name="sample_id"/>
    <x:tableColumn id="2" name="Proceso electoral y pluralismo"/>
    <x:tableColumn id="3" name="Funcionamiento del gobierno"/>
    <x:tableColumn id="4" name="Participación política"/>
    <x:tableColumn id="5" name="Cultura política"/>
    <x:tableColumn id="6" name="Libertades civiles"/>
    <x:tableColumn id="7" name="overall_score"/>
    <x:tableColumn id="8" name="data_status"/>
  </x:tableColumns>
  <x:tableStyleInfo name="TableStyleMedium2" showFirstColumn="0" showLastColumn="0" showRowStripes="1" showColumnStripes="0"/>
</x:table>
</file>

<file path=xl/tables/table5.xml><?xml version="1.0" encoding="utf-8"?>
<x:table xmlns:x="http://schemas.openxmlformats.org/spreadsheetml/2006/main" id="5" name="Escenarios" displayName="Escenarios" ref="A5:L23" headerRowCount="1" totalsRowCount="0" totalsRowShown="0">
  <x:tableColumns count="12">
    <x:tableColumn id="1" name="scenario_id"/>
    <x:tableColumn id="2" name="scenario_name"/>
    <x:tableColumn id="3" name="year"/>
    <x:tableColumn id="4" name="Proceso electoral y pluralismo"/>
    <x:tableColumn id="5" name="Funcionamiento del gobierno"/>
    <x:tableColumn id="6" name="Participación política"/>
    <x:tableColumn id="7" name="Cultura política"/>
    <x:tableColumn id="8" name="Libertades civiles"/>
    <x:tableColumn id="9" name="overall_score"/>
    <x:tableColumn id="10" name="phase"/>
    <x:tableColumn id="11" name="data_status"/>
    <x:tableColumn id="12" name="regime_type"/>
  </x:tableColumns>
  <x:tableStyleInfo name="TableStyleMedium2" showFirstColumn="0" showLastColumn="0" showRowStripes="1" showColumnStripes="0"/>
</x:table>
</file>

<file path=xl/tables/table6.xml><?xml version="1.0" encoding="utf-8"?>
<x:table xmlns:x="http://schemas.openxmlformats.org/spreadsheetml/2006/main" id="6" name="Resumen2030" displayName="Resumen2030" ref="A5:M8" headerRowCount="1" totalsRowCount="0" totalsRowShown="0">
  <x:tableColumns count="13">
    <x:tableColumn id="1" name="scenario_id"/>
    <x:tableColumn id="2" name="scenario_name"/>
    <x:tableColumn id="3" name="scenario_type"/>
    <x:tableColumn id="4" name="description"/>
    <x:tableColumn id="5" name="score_2026"/>
    <x:tableColumn id="6" name="score_2030"/>
    <x:tableColumn id="7" name="regime_2030"/>
    <x:tableColumn id="8" name="triggers"/>
    <x:tableColumn id="9" name="warnings"/>
    <x:tableColumn id="10" name="p10_2030"/>
    <x:tableColumn id="11" name="p50_2030"/>
    <x:tableColumn id="12" name="p90_2030"/>
    <x:tableColumn id="13" name="classification_basis"/>
  </x:tableColumns>
  <x:tableStyleInfo name="TableStyleMedium2" showFirstColumn="0" showLastColumn="0" showRowStripes="1" showColumnStripes="0"/>
</x:table>
</file>

<file path=xl/tables/table7.xml><?xml version="1.0" encoding="utf-8"?>
<x:table xmlns:x="http://schemas.openxmlformats.org/spreadsheetml/2006/main" id="7" name="Sensibilidad" displayName="Sensibilidad" ref="A5:H23" headerRowCount="1" totalsRowCount="0" totalsRowShown="0">
  <x:tableColumns count="8">
    <x:tableColumn id="1" name="scenario_id"/>
    <x:tableColumn id="2" name="year"/>
    <x:tableColumn id="3" name="p10"/>
    <x:tableColumn id="4" name="p50"/>
    <x:tableColumn id="5" name="p90"/>
    <x:tableColumn id="6" name="n_sim"/>
    <x:tableColumn id="7" name="uncertainty_layers"/>
    <x:tableColumn id="8" name="note"/>
  </x:tableColumns>
  <x:tableStyleInfo name="TableStyleMedium2" showFirstColumn="0" showLastColumn="0" showRowStripes="1" showColumnStripes="0"/>
</x:table>
</file>

<file path=xl/tables/table8.xml><?xml version="1.0" encoding="utf-8"?>
<x:table xmlns:x="http://schemas.openxmlformats.org/spreadsheetml/2006/main" id="8" name="SensibilidadCategorias" displayName="SensibilidadCategorias" ref="A5:H95" headerRowCount="1" totalsRowCount="0" totalsRowShown="0">
  <x:tableColumns count="8">
    <x:tableColumn id="1" name="scenario_id"/>
    <x:tableColumn id="2" name="year"/>
    <x:tableColumn id="3" name="category_full"/>
    <x:tableColumn id="4" name="category_es"/>
    <x:tableColumn id="5" name="p10"/>
    <x:tableColumn id="6" name="p50"/>
    <x:tableColumn id="7" name="p90"/>
    <x:tableColumn id="8" name="n_sim"/>
  </x:tableColumns>
  <x:tableStyleInfo name="TableStyleMedium2" showFirstColumn="0" showLastColumn="0" showRowStripes="1" showColumnStripes="0"/>
</x:table>
</file>

<file path=xl/tables/table9.xml><?xml version="1.0" encoding="utf-8"?>
<x:table xmlns:x="http://schemas.openxmlformats.org/spreadsheetml/2006/main" id="9" name="Parametros" displayName="Parametros" ref="A5:N35" headerRowCount="1" totalsRowCount="0" totalsRowShown="0">
  <x:tableColumns count="14">
    <x:tableColumn id="1" name="scenario_id"/>
    <x:tableColumn id="2" name="scenario_name"/>
    <x:tableColumn id="3" name="category_full"/>
    <x:tableColumn id="4" name="category_es"/>
    <x:tableColumn id="5" name="parameter"/>
    <x:tableColumn id="6" name="central"/>
    <x:tableColumn id="7" name="plausible_low"/>
    <x:tableColumn id="8" name="plausible_high"/>
    <x:tableColumn id="9" name="evidence_basis"/>
    <x:tableColumn id="10" name="signal"/>
    <x:tableColumn id="11" name="translation_rule"/>
    <x:tableColumn id="12" name="decision_author"/>
    <x:tableColumn id="13" name="decision_date"/>
    <x:tableColumn id="14" name="parameter_status"/>
  </x:tableColumns>
  <x:tableStyleInfo name="TableStyleMedium2" showFirstColumn="0" showLastColumn="0" showRowStripes="1" showColumnStripes="0"/>
</x:table>
</file>

<file path=xl/tables/table10.xml><?xml version="1.0" encoding="utf-8"?>
<x:table xmlns:x="http://schemas.openxmlformats.org/spreadsheetml/2006/main" id="10" name="Evidencia" displayName="Evidencia" ref="A5:J14" headerRowCount="1" totalsRowCount="0" totalsRowShown="0">
  <x:tableColumns count="10">
    <x:tableColumn id="1" name="id"/>
    <x:tableColumn id="2" name="date"/>
    <x:tableColumn id="3" name="type"/>
    <x:tableColumn id="4" name="source"/>
    <x:tableColumn id="5" name="title"/>
    <x:tableColumn id="6" name="signal"/>
    <x:tableColumn id="7" name="model_dimensions"/>
    <x:tableColumn id="8" name="url"/>
    <x:tableColumn id="9" name="source_priority"/>
    <x:tableColumn id="10" name="computational_use"/>
  </x:tableColumns>
  <x:tableStyleInfo name="TableStyleMedium2" showFirstColumn="0" showLastColumn="0" showRowStripes="1" showColumnStripes="0"/>
</x:table>
</file>

<file path=xl/tables/table11.xml><?xml version="1.0" encoding="utf-8"?>
<x:table xmlns:x="http://schemas.openxmlformats.org/spreadsheetml/2006/main" id="11" name="EstadosDato" displayName="EstadosDato" ref="A5:D11" headerRowCount="1" totalsRowCount="0" totalsRowShown="0">
  <x:tableColumns count="4">
    <x:tableColumn id="1" name="status_id"/>
    <x:tableColumn id="2" name="label_es"/>
    <x:tableColumn id="3" name="definition"/>
    <x:tableColumn id="4" name="allowed_use"/>
  </x:tableColumns>
  <x:tableStyleInfo name="TableStyleMedium2" showFirstColumn="0" showLastColumn="0" showRowStripes="1" showColumnStripes="0"/>
</x:table>
</file>

<file path=xl/tables/table12.xml><?xml version="1.0" encoding="utf-8"?>
<x:table xmlns:x="http://schemas.openxmlformats.org/spreadsheetml/2006/main" id="12" name="FormulasModelo" displayName="FormulasModelo" ref="A5:D14" headerRowCount="1" totalsRowCount="0" totalsRowShown="0">
  <x:tableColumns count="4">
    <x:tableColumn id="1" name="formula_id"/>
    <x:tableColumn id="2" name="component"/>
    <x:tableColumn id="3" name="formula"/>
    <x:tableColumn id="4" name="interpretation"/>
  </x:tableColumns>
  <x:tableStyleInfo name="TableStyleMedium2" showFirstColumn="0" showLastColumn="0" showRowStripes="1" showColumnStripes="0"/>
</x:table>
</file>

<file path=xl/tables/table13.xml><?xml version="1.0" encoding="utf-8"?>
<x:table xmlns:x="http://schemas.openxmlformats.org/spreadsheetml/2006/main" id="13" name="Diccionario" displayName="Diccionario" ref="A5:D152" headerRowCount="1" totalsRowCount="0" totalsRowShown="0">
  <x:tableColumns count="4">
    <x:tableColumn id="1" name="file"/>
    <x:tableColumn id="2" name="field"/>
    <x:tableColumn id="3" name="dtype"/>
    <x:tableColumn id="4" name="description"/>
  </x:tableColumns>
  <x:tableStyleInfo name="TableStyleMedium2" showFirstColumn="0" showLastColumn="0" showRowStripes="1" showColumnStripes="0"/>
</x:table>
</file>

<file path=xl/tables/table14.xml><?xml version="1.0" encoding="utf-8"?>
<x:table xmlns:x="http://schemas.openxmlformats.org/spreadsheetml/2006/main" id="14" name="Fulltext72" displayName="Fulltext72" ref="A5:AC77" headerRowCount="1" totalsRowCount="0" totalsRowShown="0">
  <x:tableColumns count="29">
    <x:tableColumn id="1" name="﻿record_id"/>
    <x:tableColumn id="2" name="queue_priority"/>
    <x:tableColumn id="3" name="title_abstract_status"/>
    <x:tableColumn id="4" name="title"/>
    <x:tableColumn id="5" name="authors"/>
    <x:tableColumn id="6" name="year"/>
    <x:tableColumn id="7" name="source"/>
    <x:tableColumn id="8" name="database"/>
    <x:tableColumn id="9" name="profile"/>
    <x:tableColumn id="10" name="doi"/>
    <x:tableColumn id="11" name="record_url"/>
    <x:tableColumn id="12" name="fulltext_url"/>
    <x:tableColumn id="13" name="retrieval_status"/>
    <x:tableColumn id="14" name="access_route"/>
    <x:tableColumn id="15" name="retrieval_evidence"/>
    <x:tableColumn id="16" name="pdf_identity_gate"/>
    <x:tableColumn id="17" name="fulltext_assessed"/>
    <x:tableColumn id="18" name="eligibility_status"/>
    <x:tableColumn id="19" name="final_inclusion"/>
    <x:tableColumn id="20" name="exclusion_reason"/>
    <x:tableColumn id="21" name="appraisal_tool"/>
    <x:tableColumn id="22" name="appraisal_rating"/>
    <x:tableColumn id="23" name="article_section"/>
    <x:tableColumn id="24" name="evidence_role"/>
    <x:tableColumn id="25" name="democracy_dimension"/>
    <x:tableColumn id="26" name="scenario_link"/>
    <x:tableColumn id="27" name="claim_supported"/>
    <x:tableColumn id="28" name="parameter_effect"/>
    <x:tableColumn id="29" name="review_note"/>
  </x:tableColumns>
  <x:tableStyleInfo name="TableStyleMedium2" showFirstColumn="0" showLastColumn="0" showRowStripes="1" showColumnStripes="0"/>
</x:table>
</file>

<file path=xl/tables/table15.xml><?xml version="1.0" encoding="utf-8"?>
<x:table xmlns:x="http://schemas.openxmlformats.org/spreadsheetml/2006/main" id="15" name="Incluidos29" displayName="Incluidos29" ref="A5:AC34" headerRowCount="1" totalsRowCount="0" totalsRowShown="0">
  <x:tableColumns count="29">
    <x:tableColumn id="1" name="﻿record_id"/>
    <x:tableColumn id="2" name="queue_priority"/>
    <x:tableColumn id="3" name="title_abstract_status"/>
    <x:tableColumn id="4" name="title"/>
    <x:tableColumn id="5" name="authors"/>
    <x:tableColumn id="6" name="year"/>
    <x:tableColumn id="7" name="source"/>
    <x:tableColumn id="8" name="database"/>
    <x:tableColumn id="9" name="profile"/>
    <x:tableColumn id="10" name="doi"/>
    <x:tableColumn id="11" name="record_url"/>
    <x:tableColumn id="12" name="fulltext_url"/>
    <x:tableColumn id="13" name="retrieval_status"/>
    <x:tableColumn id="14" name="access_route"/>
    <x:tableColumn id="15" name="retrieval_evidence"/>
    <x:tableColumn id="16" name="pdf_identity_gate"/>
    <x:tableColumn id="17" name="fulltext_assessed"/>
    <x:tableColumn id="18" name="eligibility_status"/>
    <x:tableColumn id="19" name="final_inclusion"/>
    <x:tableColumn id="20" name="exclusion_reason"/>
    <x:tableColumn id="21" name="appraisal_tool"/>
    <x:tableColumn id="22" name="appraisal_rating"/>
    <x:tableColumn id="23" name="article_section"/>
    <x:tableColumn id="24" name="evidence_role"/>
    <x:tableColumn id="25" name="democracy_dimension"/>
    <x:tableColumn id="26" name="scenario_link"/>
    <x:tableColumn id="27" name="claim_supported"/>
    <x:tableColumn id="28" name="parameter_effect"/>
    <x:tableColumn id="29" name="review_note"/>
  </x:tableColumns>
  <x:tableStyleInfo name="TableStyleMedium2" showFirstColumn="0" showLastColumn="0" showRowStripes="1" showColumnStripes="0"/>
</x:table>
</file>

<file path=xl/tables/table16.xml><?xml version="1.0" encoding="utf-8"?>
<x:table xmlns:x="http://schemas.openxmlformats.org/spreadsheetml/2006/main" id="16" name="Excluidos13" displayName="Excluidos13" ref="A5:AC18" headerRowCount="1" totalsRowCount="0" totalsRowShown="0">
  <x:tableColumns count="29">
    <x:tableColumn id="1" name="﻿record_id"/>
    <x:tableColumn id="2" name="queue_priority"/>
    <x:tableColumn id="3" name="title_abstract_status"/>
    <x:tableColumn id="4" name="title"/>
    <x:tableColumn id="5" name="authors"/>
    <x:tableColumn id="6" name="year"/>
    <x:tableColumn id="7" name="source"/>
    <x:tableColumn id="8" name="database"/>
    <x:tableColumn id="9" name="profile"/>
    <x:tableColumn id="10" name="doi"/>
    <x:tableColumn id="11" name="record_url"/>
    <x:tableColumn id="12" name="fulltext_url"/>
    <x:tableColumn id="13" name="retrieval_status"/>
    <x:tableColumn id="14" name="access_route"/>
    <x:tableColumn id="15" name="retrieval_evidence"/>
    <x:tableColumn id="16" name="pdf_identity_gate"/>
    <x:tableColumn id="17" name="fulltext_assessed"/>
    <x:tableColumn id="18" name="eligibility_status"/>
    <x:tableColumn id="19" name="final_inclusion"/>
    <x:tableColumn id="20" name="exclusion_reason"/>
    <x:tableColumn id="21" name="appraisal_tool"/>
    <x:tableColumn id="22" name="appraisal_rating"/>
    <x:tableColumn id="23" name="article_section"/>
    <x:tableColumn id="24" name="evidence_role"/>
    <x:tableColumn id="25" name="democracy_dimension"/>
    <x:tableColumn id="26" name="scenario_link"/>
    <x:tableColumn id="27" name="claim_supported"/>
    <x:tableColumn id="28" name="parameter_effect"/>
    <x:tableColumn id="29" name="review_note"/>
  </x:tableColumns>
  <x:tableStyleInfo name="TableStyleMedium2" showFirstColumn="0" showLastColumn="0" showRowStripes="1" showColumnStripes="0"/>
</x:table>
</file>

<file path=xl/tables/table17.xml><?xml version="1.0" encoding="utf-8"?>
<x:table xmlns:x="http://schemas.openxmlformats.org/spreadsheetml/2006/main" id="17" name="NoRecuperados30" displayName="NoRecuperados30" ref="A5:AC35" headerRowCount="1" totalsRowCount="0" totalsRowShown="0">
  <x:tableColumns count="29">
    <x:tableColumn id="1" name="﻿record_id"/>
    <x:tableColumn id="2" name="queue_priority"/>
    <x:tableColumn id="3" name="title_abstract_status"/>
    <x:tableColumn id="4" name="title"/>
    <x:tableColumn id="5" name="authors"/>
    <x:tableColumn id="6" name="year"/>
    <x:tableColumn id="7" name="source"/>
    <x:tableColumn id="8" name="database"/>
    <x:tableColumn id="9" name="profile"/>
    <x:tableColumn id="10" name="doi"/>
    <x:tableColumn id="11" name="record_url"/>
    <x:tableColumn id="12" name="fulltext_url"/>
    <x:tableColumn id="13" name="retrieval_status"/>
    <x:tableColumn id="14" name="access_route"/>
    <x:tableColumn id="15" name="retrieval_evidence"/>
    <x:tableColumn id="16" name="pdf_identity_gate"/>
    <x:tableColumn id="17" name="fulltext_assessed"/>
    <x:tableColumn id="18" name="eligibility_status"/>
    <x:tableColumn id="19" name="final_inclusion"/>
    <x:tableColumn id="20" name="exclusion_reason"/>
    <x:tableColumn id="21" name="appraisal_tool"/>
    <x:tableColumn id="22" name="appraisal_rating"/>
    <x:tableColumn id="23" name="article_section"/>
    <x:tableColumn id="24" name="evidence_role"/>
    <x:tableColumn id="25" name="democracy_dimension"/>
    <x:tableColumn id="26" name="scenario_link"/>
    <x:tableColumn id="27" name="claim_supported"/>
    <x:tableColumn id="28" name="parameter_effect"/>
    <x:tableColumn id="29" name="review_note"/>
  </x:tableColumns>
  <x:tableStyleInfo name="TableStyleMedium2" showFirstColumn="0" showLastColumn="0" showRowStripes="1" showColumnStripes="0"/>
</x:table>
</file>

<file path=xl/tables/table18.xml><?xml version="1.0" encoding="utf-8"?>
<x:table xmlns:x="http://schemas.openxmlformats.org/spreadsheetml/2006/main" id="18" name="MapaEvidencia29" displayName="MapaEvidencia29" ref="A5:M34" headerRowCount="1" totalsRowCount="0" totalsRowShown="0">
  <x:tableColumns count="13">
    <x:tableColumn id="1" name="﻿record_id"/>
    <x:tableColumn id="2" name="title"/>
    <x:tableColumn id="3" name="authors"/>
    <x:tableColumn id="4" name="year"/>
    <x:tableColumn id="5" name="doi"/>
    <x:tableColumn id="6" name="article_section"/>
    <x:tableColumn id="7" name="evidence_role"/>
    <x:tableColumn id="8" name="democracy_dimension"/>
    <x:tableColumn id="9" name="scenario_link"/>
    <x:tableColumn id="10" name="claim_supported"/>
    <x:tableColumn id="11" name="appraisal_tool"/>
    <x:tableColumn id="12" name="appraisal_rating"/>
    <x:tableColumn id="13" name="parameter_effec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f01e305a4844121" /></Relationships>
</file>

<file path=xl/worksheets/_rels/sheet2.xml.rels>&#65279;<?xml version="1.0" encoding="utf-8"?><Relationships xmlns="http://schemas.openxmlformats.org/package/2006/relationships"><Relationship Type="http://schemas.openxmlformats.org/officeDocument/2006/relationships/drawing" Target="/xl/drawings/drawing2.xml" Id="R68c7c750b9ed4780" /><Relationship Type="http://schemas.openxmlformats.org/officeDocument/2006/relationships/table" Target="/xl/tables/table1.xml" Id="Rccb26910906d4614" /></Relationships>
</file>

<file path=xl/worksheets/_rels/sheet3.xml.rels>&#65279;<?xml version="1.0" encoding="utf-8"?><Relationships xmlns="http://schemas.openxmlformats.org/package/2006/relationships"><Relationship Type="http://schemas.openxmlformats.org/officeDocument/2006/relationships/table" Target="/xl/tables/table2.xml" Id="R2449429d390d4ba3" /></Relationships>
</file>

<file path=xl/worksheets/_rels/sheet4.xml.rels>&#65279;<?xml version="1.0" encoding="utf-8"?><Relationships xmlns="http://schemas.openxmlformats.org/package/2006/relationships"><Relationship Type="http://schemas.openxmlformats.org/officeDocument/2006/relationships/table" Target="/xl/tables/table3.xml" Id="R81d06640f82a4a3c" /></Relationships>
</file>

<file path=xl/worksheets/_rels/sheet5.xml.rels>&#65279;<?xml version="1.0" encoding="utf-8"?><Relationships xmlns="http://schemas.openxmlformats.org/package/2006/relationships"><Relationship Type="http://schemas.openxmlformats.org/officeDocument/2006/relationships/table" Target="/xl/tables/table4.xml" Id="Rb3b4d758c1fe44ff" /></Relationships>
</file>

<file path=xl/worksheets/_rels/sheet6.xml.rels>&#65279;<?xml version="1.0" encoding="utf-8"?><Relationships xmlns="http://schemas.openxmlformats.org/package/2006/relationships"><Relationship Type="http://schemas.openxmlformats.org/officeDocument/2006/relationships/table" Target="/xl/tables/table5.xml" Id="R72fdfabc5dd341a3" /></Relationships>
</file>

<file path=xl/worksheets/_rels/sheet7.xml.rels>&#65279;<?xml version="1.0" encoding="utf-8"?><Relationships xmlns="http://schemas.openxmlformats.org/package/2006/relationships"><Relationship Type="http://schemas.openxmlformats.org/officeDocument/2006/relationships/table" Target="/xl/tables/table6.xml" Id="Rfd80a1dc5a114dd9" /></Relationships>
</file>

<file path=xl/worksheets/_rels/sheet8.xml.rels>&#65279;<?xml version="1.0" encoding="utf-8"?><Relationships xmlns="http://schemas.openxmlformats.org/package/2006/relationships"><Relationship Type="http://schemas.openxmlformats.org/officeDocument/2006/relationships/table" Target="/xl/tables/table7.xml" Id="Rc99809530a2641d8" /></Relationships>
</file>

<file path=xl/worksheets/_rels/sheet9.xml.rels>&#65279;<?xml version="1.0" encoding="utf-8"?><Relationships xmlns="http://schemas.openxmlformats.org/package/2006/relationships"><Relationship Type="http://schemas.openxmlformats.org/officeDocument/2006/relationships/table" Target="/xl/tables/table8.xml" Id="Rebf7ff09373341c1" /></Relationships>
</file>

<file path=xl/worksheets/_rels/sheet10.xml.rels>&#65279;<?xml version="1.0" encoding="utf-8"?><Relationships xmlns="http://schemas.openxmlformats.org/package/2006/relationships"><Relationship Type="http://schemas.openxmlformats.org/officeDocument/2006/relationships/table" Target="/xl/tables/table9.xml" Id="R3c186b9094e54c3d" /></Relationships>
</file>

<file path=xl/worksheets/_rels/sheet11.xml.rels>&#65279;<?xml version="1.0" encoding="utf-8"?><Relationships xmlns="http://schemas.openxmlformats.org/package/2006/relationships"><Relationship Type="http://schemas.openxmlformats.org/officeDocument/2006/relationships/table" Target="/xl/tables/table10.xml" Id="Rd7f0659c4cce4f96" /></Relationships>
</file>

<file path=xl/worksheets/_rels/sheet12.xml.rels>&#65279;<?xml version="1.0" encoding="utf-8"?><Relationships xmlns="http://schemas.openxmlformats.org/package/2006/relationships"><Relationship Type="http://schemas.openxmlformats.org/officeDocument/2006/relationships/table" Target="/xl/tables/table11.xml" Id="Ra1b258faf5684d3c" /></Relationships>
</file>

<file path=xl/worksheets/_rels/sheet13.xml.rels>&#65279;<?xml version="1.0" encoding="utf-8"?><Relationships xmlns="http://schemas.openxmlformats.org/package/2006/relationships"><Relationship Type="http://schemas.openxmlformats.org/officeDocument/2006/relationships/table" Target="/xl/tables/table12.xml" Id="R8eeef90905f949a8" /></Relationships>
</file>

<file path=xl/worksheets/_rels/sheet14.xml.rels>&#65279;<?xml version="1.0" encoding="utf-8"?><Relationships xmlns="http://schemas.openxmlformats.org/package/2006/relationships"><Relationship Type="http://schemas.openxmlformats.org/officeDocument/2006/relationships/table" Target="/xl/tables/table13.xml" Id="R653c1205fa494f59" /></Relationships>
</file>

<file path=xl/worksheets/_rels/sheet16.xml.rels>&#65279;<?xml version="1.0" encoding="utf-8"?><Relationships xmlns="http://schemas.openxmlformats.org/package/2006/relationships"><Relationship Type="http://schemas.openxmlformats.org/officeDocument/2006/relationships/table" Target="/xl/tables/table14.xml" Id="R769e94bab86442cc" /></Relationships>
</file>

<file path=xl/worksheets/_rels/sheet17.xml.rels>&#65279;<?xml version="1.0" encoding="utf-8"?><Relationships xmlns="http://schemas.openxmlformats.org/package/2006/relationships"><Relationship Type="http://schemas.openxmlformats.org/officeDocument/2006/relationships/table" Target="/xl/tables/table15.xml" Id="Re607c1d5494848c7" /></Relationships>
</file>

<file path=xl/worksheets/_rels/sheet18.xml.rels>&#65279;<?xml version="1.0" encoding="utf-8"?><Relationships xmlns="http://schemas.openxmlformats.org/package/2006/relationships"><Relationship Type="http://schemas.openxmlformats.org/officeDocument/2006/relationships/table" Target="/xl/tables/table16.xml" Id="Ra418987dbc9e4abc" /></Relationships>
</file>

<file path=xl/worksheets/_rels/sheet19.xml.rels>&#65279;<?xml version="1.0" encoding="utf-8"?><Relationships xmlns="http://schemas.openxmlformats.org/package/2006/relationships"><Relationship Type="http://schemas.openxmlformats.org/officeDocument/2006/relationships/table" Target="/xl/tables/table17.xml" Id="R43407a80f3ed4d07" /></Relationships>
</file>

<file path=xl/worksheets/_rels/sheet20.xml.rels>&#65279;<?xml version="1.0" encoding="utf-8"?><Relationships xmlns="http://schemas.openxmlformats.org/package/2006/relationships"><Relationship Type="http://schemas.openxmlformats.org/officeDocument/2006/relationships/table" Target="/xl/tables/table18.xml" Id="R431f00a19b9a493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s>
  <x:sheetData>
    <x:row r="1" ht="30" customHeight="1">
      <x:c r="A1" s="63" t="str">
        <x:v>Visor Integrado de Democracia del Perú 2020–2030</x:v>
      </x:c>
      <x:c r="B1" s="63" t="str">
        <x:v>Visor Integrado de Democracia del Perú 2020–2030</x:v>
      </x:c>
      <x:c r="C1" s="63" t="str">
        <x:v>Visor Integrado de Democracia del Perú 2020–2030</x:v>
      </x:c>
      <x:c r="D1" s="63" t="str">
        <x:v>Visor Integrado de Democracia del Perú 2020–2030</x:v>
      </x:c>
      <x:c r="E1" s="63" t="str">
        <x:v>Visor Integrado de Democracia del Perú 2020–2030</x:v>
      </x:c>
      <x:c r="F1" s="63" t="str">
        <x:v>Visor Integrado de Democracia del Perú 2020–2030</x:v>
      </x:c>
      <x:c r="G1" s="63" t="str">
        <x:v>Visor Integrado de Democracia del Perú 2020–2030</x:v>
      </x:c>
      <x:c r="H1" s="63" t="str">
        <x:v>Visor Integrado de Democracia del Perú 2020–2030</x:v>
      </x:c>
      <x:c r="I1" s="63" t="str">
        <x:v>Visor Integrado de Democracia del Perú 2020–2030</x:v>
      </x:c>
      <x:c r="J1" s="63" t="str">
        <x:v>Visor Integrado de Democracia del Perú 2020–2030</x:v>
      </x:c>
      <x:c r="K1" s="63" t="str">
        <x:v>Visor Integrado de Democracia del Perú 2020–2030</x:v>
      </x:c>
      <x:c r="L1" s="63" t="str">
        <x:v>Visor Integrado de Democracia del Perú 2020–2030</x:v>
      </x:c>
      <x:c r="M1" s="63" t="str">
        <x:v>Visor Integrado de Democracia del Perú 2020–2030</x:v>
      </x:c>
      <x:c r="N1" s="63" t="str">
        <x:v>Visor Integrado de Democracia del Perú 2020–2030</x:v>
      </x:c>
      <x:c r="O1" s="63" t="str">
        <x:v>Visor Integrado de Democracia del Perú 2020–2030</x:v>
      </x:c>
      <x:c r="P1" s="63" t="str">
        <x:v>Visor Integrado de Democracia del Perú 2020–2030</x:v>
      </x:c>
    </x:row>
    <x:row r="2" ht="34" customHeight="1">
      <x:c r="A2" s="64" t="str">
        <x:v>Base integral v2.1.0-rc.3 · fases 1–11 · cierre full-text: 42 evaluados, 29 incluidos · 2025 agregado reportado / dimensiones latentes</x:v>
      </x:c>
      <x:c r="B2" s="64" t="str">
        <x:v>Base integral v2.1.0-rc.3 · fases 1–11 · cierre full-text: 42 evaluados, 29 incluidos · 2025 agregado reportado / dimensiones latentes</x:v>
      </x:c>
      <x:c r="C2" s="64" t="str">
        <x:v>Base integral v2.1.0-rc.3 · fases 1–11 · cierre full-text: 42 evaluados, 29 incluidos · 2025 agregado reportado / dimensiones latentes</x:v>
      </x:c>
      <x:c r="D2" s="64" t="str">
        <x:v>Base integral v2.1.0-rc.3 · fases 1–11 · cierre full-text: 42 evaluados, 29 incluidos · 2025 agregado reportado / dimensiones latentes</x:v>
      </x:c>
      <x:c r="E2" s="64" t="str">
        <x:v>Base integral v2.1.0-rc.3 · fases 1–11 · cierre full-text: 42 evaluados, 29 incluidos · 2025 agregado reportado / dimensiones latentes</x:v>
      </x:c>
      <x:c r="F2" s="64" t="str">
        <x:v>Base integral v2.1.0-rc.3 · fases 1–11 · cierre full-text: 42 evaluados, 29 incluidos · 2025 agregado reportado / dimensiones latentes</x:v>
      </x:c>
      <x:c r="G2" s="64" t="str">
        <x:v>Base integral v2.1.0-rc.3 · fases 1–11 · cierre full-text: 42 evaluados, 29 incluidos · 2025 agregado reportado / dimensiones latentes</x:v>
      </x:c>
      <x:c r="H2" s="64" t="str">
        <x:v>Base integral v2.1.0-rc.3 · fases 1–11 · cierre full-text: 42 evaluados, 29 incluidos · 2025 agregado reportado / dimensiones latentes</x:v>
      </x:c>
      <x:c r="I2" s="64" t="str">
        <x:v>Base integral v2.1.0-rc.3 · fases 1–11 · cierre full-text: 42 evaluados, 29 incluidos · 2025 agregado reportado / dimensiones latentes</x:v>
      </x:c>
      <x:c r="J2" s="64" t="str">
        <x:v>Base integral v2.1.0-rc.3 · fases 1–11 · cierre full-text: 42 evaluados, 29 incluidos · 2025 agregado reportado / dimensiones latentes</x:v>
      </x:c>
      <x:c r="K2" s="64" t="str">
        <x:v>Base integral v2.1.0-rc.3 · fases 1–11 · cierre full-text: 42 evaluados, 29 incluidos · 2025 agregado reportado / dimensiones latentes</x:v>
      </x:c>
      <x:c r="L2" s="64" t="str">
        <x:v>Base integral v2.1.0-rc.3 · fases 1–11 · cierre full-text: 42 evaluados, 29 incluidos · 2025 agregado reportado / dimensiones latentes</x:v>
      </x:c>
      <x:c r="M2" s="64" t="str">
        <x:v>Base integral v2.1.0-rc.3 · fases 1–11 · cierre full-text: 42 evaluados, 29 incluidos · 2025 agregado reportado / dimensiones latentes</x:v>
      </x:c>
      <x:c r="N2" s="64" t="str">
        <x:v>Base integral v2.1.0-rc.3 · fases 1–11 · cierre full-text: 42 evaluados, 29 incluidos · 2025 agregado reportado / dimensiones latentes</x:v>
      </x:c>
      <x:c r="O2" s="64" t="str">
        <x:v>Base integral v2.1.0-rc.3 · fases 1–11 · cierre full-text: 42 evaluados, 29 incluidos · 2025 agregado reportado / dimensiones latentes</x:v>
      </x:c>
      <x:c r="P2" s="64" t="str">
        <x:v>Base integral v2.1.0-rc.3 · fases 1–11 · cierre full-text: 42 evaluados, 29 incluidos · 2025 agregado reportado / dimensiones latentes</x:v>
      </x:c>
    </x:row>
    <x:row r="3" ht="4" customHeight="1">
      <x:c r="A3" s="65"/>
      <x:c r="B3" s="65"/>
      <x:c r="C3" s="65"/>
      <x:c r="D3" s="65"/>
      <x:c r="E3" s="65"/>
      <x:c r="F3" s="65"/>
      <x:c r="G3" s="65"/>
      <x:c r="H3" s="65"/>
      <x:c r="I3" s="65"/>
      <x:c r="J3" s="65"/>
      <x:c r="K3" s="65"/>
      <x:c r="L3" s="65"/>
      <x:c r="M3" s="65"/>
      <x:c r="N3" s="65"/>
      <x:c r="O3" s="65"/>
      <x:c r="P3" s="65"/>
    </x:row>
    <x:row r="4">
      <x:c r="A4" s="66"/>
      <x:c r="B4" s="66"/>
      <x:c r="C4" s="66"/>
      <x:c r="D4" s="66"/>
      <x:c r="E4" s="66"/>
      <x:c r="F4" s="66"/>
      <x:c r="G4" s="66"/>
      <x:c r="H4" s="66"/>
      <x:c r="I4" s="66"/>
      <x:c r="J4" s="66"/>
      <x:c r="K4" s="66"/>
      <x:c r="L4" s="66"/>
      <x:c r="M4" s="66"/>
      <x:c r="N4" s="66"/>
      <x:c r="O4" s="66"/>
      <x:c r="P4" s="66"/>
    </x:row>
    <x:row r="5" ht="36" customHeight="1">
      <x:c r="A5" s="67" t="str">
        <x:v>Perú 2025</x:v>
      </x:c>
      <x:c r="B5" s="67" t="str">
        <x:v>Cambio 2024→2025</x:v>
      </x:c>
      <x:c r="C5" s="67" t="str">
        <x:v>Latinoamérica 2025</x:v>
      </x:c>
      <x:c r="D5" s="67" t="str">
        <x:v>Mundo 2025</x:v>
      </x:c>
      <x:c r="E5" s="66"/>
      <x:c r="F5" s="66"/>
      <x:c r="G5" s="66"/>
      <x:c r="H5" s="66"/>
      <x:c r="I5" s="66"/>
      <x:c r="J5" s="66"/>
      <x:c r="K5" s="66"/>
      <x:c r="L5" s="66"/>
      <x:c r="M5" s="66"/>
      <x:c r="N5" s="66"/>
      <x:c r="O5" s="66"/>
      <x:c r="P5" s="66"/>
    </x:row>
    <x:row r="6">
      <x:c r="A6" s="68" t="n">
        <x:f>B31</x:f>
        <x:v>5.88</x:v>
      </x:c>
      <x:c r="B6" s="68" t="n">
        <x:f>B31-B30</x:f>
        <x:v>0.1899999999999995</x:v>
      </x:c>
      <x:c r="C6" s="68" t="n">
        <x:f>C31</x:f>
        <x:v>5.71</x:v>
      </x:c>
      <x:c r="D6" s="68" t="n">
        <x:f>D31</x:f>
        <x:v>5.19</x:v>
      </x:c>
      <x:c r="E6" s="66"/>
      <x:c r="F6" s="66"/>
      <x:c r="G6" s="66"/>
      <x:c r="H6" s="66"/>
      <x:c r="I6" s="66"/>
      <x:c r="J6" s="66"/>
      <x:c r="K6" s="66"/>
      <x:c r="L6" s="66"/>
      <x:c r="M6" s="66"/>
      <x:c r="N6" s="66"/>
      <x:c r="O6" s="66"/>
      <x:c r="P6" s="66"/>
    </x:row>
    <x:row r="7">
      <x:c r="A7" s="66"/>
      <x:c r="B7" s="66"/>
      <x:c r="C7" s="66"/>
      <x:c r="D7" s="66"/>
      <x:c r="E7" s="66"/>
      <x:c r="F7" s="66"/>
      <x:c r="G7" s="66"/>
      <x:c r="H7" s="66"/>
      <x:c r="I7" s="66"/>
      <x:c r="J7" s="66"/>
      <x:c r="K7" s="66"/>
      <x:c r="L7" s="66"/>
      <x:c r="M7" s="66"/>
      <x:c r="N7" s="66"/>
      <x:c r="O7" s="66"/>
      <x:c r="P7" s="66"/>
    </x:row>
    <x:row r="8" ht="36" customHeight="1">
      <x:c r="A8" s="67" t="str">
        <x:v>Recuperación 2030</x:v>
      </x:c>
      <x:c r="B8" s="67" t="str">
        <x:v>Continuidad 2030</x:v>
      </x:c>
      <x:c r="C8" s="67" t="str">
        <x:v>Deriva 2030</x:v>
      </x:c>
      <x:c r="D8" s="67" t="str">
        <x:v>Simulaciones</x:v>
      </x:c>
      <x:c r="E8" s="66"/>
      <x:c r="F8" s="66"/>
      <x:c r="G8" s="66"/>
      <x:c r="H8" s="66"/>
      <x:c r="I8" s="66"/>
      <x:c r="J8" s="66"/>
      <x:c r="K8" s="66"/>
      <x:c r="L8" s="66"/>
      <x:c r="M8" s="66"/>
      <x:c r="N8" s="66"/>
      <x:c r="O8" s="66"/>
      <x:c r="P8" s="66"/>
    </x:row>
    <x:row r="9">
      <x:c r="A9" s="69" t="n">
        <x:f>B22</x:f>
        <x:v>6.222</x:v>
      </x:c>
      <x:c r="B9" s="69" t="n">
        <x:f>C22</x:f>
        <x:v>5.874</x:v>
      </x:c>
      <x:c r="C9" s="69" t="n">
        <x:f>D22</x:f>
        <x:v>5.348</x:v>
      </x:c>
      <x:c r="D9" s="70" t="n">
        <x:v>10000</x:v>
      </x:c>
      <x:c r="E9" s="66"/>
      <x:c r="F9" s="66"/>
      <x:c r="G9" s="66"/>
      <x:c r="H9" s="66"/>
      <x:c r="I9" s="66"/>
      <x:c r="J9" s="66"/>
      <x:c r="K9" s="66"/>
      <x:c r="L9" s="66"/>
      <x:c r="M9" s="66"/>
      <x:c r="N9" s="66"/>
      <x:c r="O9" s="66"/>
      <x:c r="P9" s="66"/>
    </x:row>
    <x:row r="10">
      <x:c r="A10" s="66"/>
      <x:c r="B10" s="66"/>
      <x:c r="C10" s="66"/>
      <x:c r="D10" s="66"/>
      <x:c r="E10" s="66"/>
      <x:c r="F10" s="66"/>
      <x:c r="G10" s="66"/>
      <x:c r="H10" s="66"/>
      <x:c r="I10" s="66"/>
      <x:c r="J10" s="66"/>
      <x:c r="K10" s="66"/>
      <x:c r="L10" s="66"/>
      <x:c r="M10" s="66"/>
      <x:c r="N10" s="66"/>
      <x:c r="O10" s="66"/>
      <x:c r="P10" s="66"/>
    </x:row>
    <x:row r="11">
      <x:c r="A11" s="71"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B11" s="72"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C11" s="72"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D11" s="73"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E11" s="66"/>
      <x:c r="F11" s="66"/>
      <x:c r="G11" s="66"/>
      <x:c r="H11" s="66"/>
      <x:c r="I11" s="66"/>
      <x:c r="J11" s="66"/>
      <x:c r="K11" s="66"/>
      <x:c r="L11" s="66"/>
      <x:c r="M11" s="66"/>
      <x:c r="N11" s="66"/>
      <x:c r="O11" s="66"/>
      <x:c r="P11" s="66"/>
    </x:row>
    <x:row r="12">
      <x:c r="A12" s="74"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B12" s="75"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C12" s="75"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D12" s="76"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E12" s="66"/>
      <x:c r="F12" s="66"/>
      <x:c r="G12" s="66"/>
      <x:c r="H12" s="66"/>
      <x:c r="I12" s="66"/>
      <x:c r="J12" s="66"/>
      <x:c r="K12" s="66"/>
      <x:c r="L12" s="66"/>
      <x:c r="M12" s="66"/>
      <x:c r="N12" s="66"/>
      <x:c r="O12" s="66"/>
      <x:c r="P12" s="66"/>
    </x:row>
    <x:row r="13">
      <x:c r="A13" s="77"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B13" s="78"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C13" s="78"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D13" s="79" t="str">
        <x:v>Lectura obligatoria: 5,88 es un agregado secundariamente reportado. Los cinco componentes 2025 son una composición latente modelada que preserva exactamente ese promedio. Las bandas p10–p90 son sensibilidad conjunta, no intervalos de confianza ni probabilidades de ocurrencia.</x:v>
      </x:c>
      <x:c r="E13" s="66"/>
      <x:c r="F13" s="66"/>
      <x:c r="G13" s="66"/>
      <x:c r="H13" s="66"/>
      <x:c r="I13" s="66"/>
      <x:c r="J13" s="66"/>
      <x:c r="K13" s="66"/>
      <x:c r="L13" s="66"/>
      <x:c r="M13" s="66"/>
      <x:c r="N13" s="66"/>
      <x:c r="O13" s="66"/>
      <x:c r="P13" s="66"/>
    </x:row>
    <x:row r="14">
      <x:c r="A14" s="66"/>
      <x:c r="B14" s="66"/>
      <x:c r="C14" s="66"/>
      <x:c r="D14" s="66"/>
      <x:c r="E14" s="66"/>
      <x:c r="F14" s="66"/>
      <x:c r="G14" s="66"/>
      <x:c r="H14" s="66"/>
      <x:c r="I14" s="66"/>
      <x:c r="J14" s="66"/>
      <x:c r="K14" s="66"/>
      <x:c r="L14" s="66"/>
      <x:c r="M14" s="66"/>
      <x:c r="N14" s="66"/>
      <x:c r="O14" s="66"/>
      <x:c r="P14" s="66"/>
    </x:row>
    <x:row r="15">
      <x:c r="A15" s="66"/>
      <x:c r="B15" s="66"/>
      <x:c r="C15" s="66"/>
      <x:c r="D15" s="66"/>
      <x:c r="E15" s="66"/>
      <x:c r="F15" s="66"/>
      <x:c r="G15" s="66"/>
      <x:c r="H15" s="66"/>
      <x:c r="I15" s="66"/>
      <x:c r="J15" s="66"/>
      <x:c r="K15" s="66"/>
      <x:c r="L15" s="66"/>
      <x:c r="M15" s="66"/>
      <x:c r="N15" s="66"/>
      <x:c r="O15" s="66"/>
      <x:c r="P15" s="66"/>
    </x:row>
    <x:row r="16" ht="36" customHeight="1">
      <x:c r="A16" s="67" t="str">
        <x:v>Año</x:v>
      </x:c>
      <x:c r="B16" s="67" t="str">
        <x:v>Recuperación institucional</x:v>
      </x:c>
      <x:c r="C16" s="67" t="str">
        <x:v>Continuidad híbrida</x:v>
      </x:c>
      <x:c r="D16" s="67" t="str">
        <x:v>Deriva restrictiva</x:v>
      </x:c>
      <x:c r="E16" s="66"/>
      <x:c r="F16" s="66"/>
      <x:c r="G16" s="66"/>
      <x:c r="H16" s="66"/>
      <x:c r="I16" s="66"/>
      <x:c r="J16" s="66"/>
      <x:c r="K16" s="66"/>
      <x:c r="L16" s="66"/>
      <x:c r="M16" s="66"/>
      <x:c r="N16" s="66"/>
      <x:c r="O16" s="66"/>
      <x:c r="P16" s="66"/>
    </x:row>
    <x:row r="17">
      <x:c r="A17" s="80" t="n">
        <x:v>2025</x:v>
      </x:c>
      <x:c r="B17" s="81" t="n">
        <x:v>5.88</x:v>
      </x:c>
      <x:c r="C17" s="81" t="n">
        <x:v>5.88</x:v>
      </x:c>
      <x:c r="D17" s="81" t="n">
        <x:v>5.88</x:v>
      </x:c>
      <x:c r="E17" s="66"/>
      <x:c r="F17" s="66"/>
      <x:c r="G17" s="66"/>
      <x:c r="H17" s="66"/>
      <x:c r="I17" s="66"/>
      <x:c r="J17" s="66"/>
      <x:c r="K17" s="66"/>
      <x:c r="L17" s="66"/>
      <x:c r="M17" s="66"/>
      <x:c r="N17" s="66"/>
      <x:c r="O17" s="66"/>
      <x:c r="P17" s="66"/>
    </x:row>
    <x:row r="18">
      <x:c r="A18" s="82" t="n">
        <x:v>2026</x:v>
      </x:c>
      <x:c r="B18" s="83" t="n">
        <x:v>5.984</x:v>
      </x:c>
      <x:c r="C18" s="83" t="n">
        <x:v>5.864</x:v>
      </x:c>
      <x:c r="D18" s="83" t="n">
        <x:v>5.684</x:v>
      </x:c>
      <x:c r="E18" s="66"/>
      <x:c r="F18" s="66"/>
      <x:c r="G18" s="66"/>
      <x:c r="H18" s="66"/>
      <x:c r="I18" s="66"/>
      <x:c r="J18" s="66"/>
      <x:c r="K18" s="66"/>
      <x:c r="L18" s="66"/>
      <x:c r="M18" s="66"/>
      <x:c r="N18" s="66"/>
      <x:c r="O18" s="66"/>
      <x:c r="P18" s="66"/>
    </x:row>
    <x:row r="19">
      <x:c r="A19" s="80" t="n">
        <x:v>2027</x:v>
      </x:c>
      <x:c r="B19" s="81" t="n">
        <x:v>6.052</x:v>
      </x:c>
      <x:c r="C19" s="81" t="n">
        <x:v>5.866</x:v>
      </x:c>
      <x:c r="D19" s="81" t="n">
        <x:v>5.599</x:v>
      </x:c>
      <x:c r="E19" s="66"/>
      <x:c r="F19" s="66"/>
      <x:c r="G19" s="66"/>
      <x:c r="H19" s="66"/>
      <x:c r="I19" s="66"/>
      <x:c r="J19" s="66"/>
      <x:c r="K19" s="66"/>
      <x:c r="L19" s="66"/>
      <x:c r="M19" s="66"/>
      <x:c r="N19" s="66"/>
      <x:c r="O19" s="66"/>
      <x:c r="P19" s="66"/>
    </x:row>
    <x:row r="20">
      <x:c r="A20" s="82" t="n">
        <x:v>2028</x:v>
      </x:c>
      <x:c r="B20" s="83" t="n">
        <x:v>6.117</x:v>
      </x:c>
      <x:c r="C20" s="83" t="n">
        <x:v>5.869</x:v>
      </x:c>
      <x:c r="D20" s="83" t="n">
        <x:v>5.509</x:v>
      </x:c>
      <x:c r="E20" s="66"/>
      <x:c r="F20" s="66"/>
      <x:c r="G20" s="66"/>
      <x:c r="H20" s="66"/>
      <x:c r="I20" s="66"/>
      <x:c r="J20" s="66"/>
      <x:c r="K20" s="66"/>
      <x:c r="L20" s="66"/>
      <x:c r="M20" s="66"/>
      <x:c r="N20" s="66"/>
      <x:c r="O20" s="66"/>
      <x:c r="P20" s="66"/>
    </x:row>
    <x:row r="21">
      <x:c r="A21" s="80" t="n">
        <x:v>2029</x:v>
      </x:c>
      <x:c r="B21" s="81" t="n">
        <x:v>6.173</x:v>
      </x:c>
      <x:c r="C21" s="81" t="n">
        <x:v>5.871</x:v>
      </x:c>
      <x:c r="D21" s="81" t="n">
        <x:v>5.423</x:v>
      </x:c>
      <x:c r="E21" s="66"/>
      <x:c r="F21" s="66"/>
      <x:c r="G21" s="66"/>
      <x:c r="H21" s="66"/>
      <x:c r="I21" s="66"/>
      <x:c r="J21" s="66"/>
      <x:c r="K21" s="66"/>
      <x:c r="L21" s="66"/>
      <x:c r="M21" s="66"/>
      <x:c r="N21" s="66"/>
      <x:c r="O21" s="66"/>
      <x:c r="P21" s="66"/>
    </x:row>
    <x:row r="22">
      <x:c r="A22" s="82" t="n">
        <x:v>2030</x:v>
      </x:c>
      <x:c r="B22" s="83" t="n">
        <x:v>6.222</x:v>
      </x:c>
      <x:c r="C22" s="83" t="n">
        <x:v>5.874</x:v>
      </x:c>
      <x:c r="D22" s="83" t="n">
        <x:v>5.348</x:v>
      </x:c>
      <x:c r="E22" s="66"/>
      <x:c r="F22" s="66"/>
      <x:c r="G22" s="66"/>
      <x:c r="H22" s="66"/>
      <x:c r="I22" s="66"/>
      <x:c r="J22" s="66"/>
      <x:c r="K22" s="66"/>
      <x:c r="L22" s="66"/>
      <x:c r="M22" s="66"/>
      <x:c r="N22" s="66"/>
      <x:c r="O22" s="66"/>
      <x:c r="P22" s="66"/>
    </x:row>
    <x:row r="23">
      <x:c r="A23" s="66"/>
      <x:c r="B23" s="66"/>
      <x:c r="C23" s="66"/>
      <x:c r="D23" s="66"/>
      <x:c r="E23" s="66"/>
      <x:c r="F23" s="66"/>
      <x:c r="G23" s="66"/>
      <x:c r="H23" s="66"/>
      <x:c r="I23" s="66"/>
      <x:c r="J23" s="66"/>
      <x:c r="K23" s="66"/>
      <x:c r="L23" s="66"/>
      <x:c r="M23" s="66"/>
      <x:c r="N23" s="66"/>
      <x:c r="O23" s="66"/>
      <x:c r="P23" s="66"/>
    </x:row>
    <x:row r="24">
      <x:c r="A24" s="66"/>
      <x:c r="B24" s="66"/>
      <x:c r="C24" s="66"/>
      <x:c r="D24" s="66"/>
      <x:c r="E24" s="66"/>
      <x:c r="F24" s="66"/>
      <x:c r="G24" s="66"/>
      <x:c r="H24" s="66"/>
      <x:c r="I24" s="66"/>
      <x:c r="J24" s="66"/>
      <x:c r="K24" s="66"/>
      <x:c r="L24" s="66"/>
      <x:c r="M24" s="66"/>
      <x:c r="N24" s="66"/>
      <x:c r="O24" s="66"/>
      <x:c r="P24" s="66"/>
    </x:row>
    <x:row r="25" ht="36" customHeight="1">
      <x:c r="A25" s="14" t="str">
        <x:v>Año</x:v>
      </x:c>
      <x:c r="B25" s="14" t="str">
        <x:v>Perú</x:v>
      </x:c>
      <x:c r="C25" s="14" t="str">
        <x:v>América Latina</x:v>
      </x:c>
      <x:c r="D25" s="14" t="str">
        <x:v>Mundo</x:v>
      </x:c>
    </x:row>
    <x:row r="26">
      <x:c r="A26" s="58" t="n">
        <x:v>2020</x:v>
      </x:c>
      <x:c r="B26" s="61" t="n">
        <x:v>6.53</x:v>
      </x:c>
      <x:c r="C26" s="61" t="n">
        <x:v>6.09</x:v>
      </x:c>
      <x:c r="D26" s="61" t="n">
        <x:v>5.37</x:v>
      </x:c>
    </x:row>
    <x:row r="27">
      <x:c r="A27" s="57" t="n">
        <x:v>2021</x:v>
      </x:c>
      <x:c r="B27" s="62" t="n">
        <x:v>6.09</x:v>
      </x:c>
      <x:c r="C27" s="62" t="n">
        <x:v>5.83</x:v>
      </x:c>
      <x:c r="D27" s="62" t="n">
        <x:v>5.28</x:v>
      </x:c>
    </x:row>
    <x:row r="28">
      <x:c r="A28" s="58" t="n">
        <x:v>2022</x:v>
      </x:c>
      <x:c r="B28" s="61" t="n">
        <x:v>5.92</x:v>
      </x:c>
      <x:c r="C28" s="61" t="n">
        <x:v>5.79</x:v>
      </x:c>
      <x:c r="D28" s="61" t="n">
        <x:v>5.29</x:v>
      </x:c>
    </x:row>
    <x:row r="29">
      <x:c r="A29" s="57" t="n">
        <x:v>2023</x:v>
      </x:c>
      <x:c r="B29" s="62" t="n">
        <x:v>5.81</x:v>
      </x:c>
      <x:c r="C29" s="62" t="n">
        <x:v>5.68</x:v>
      </x:c>
      <x:c r="D29" s="62" t="n">
        <x:v>5.23</x:v>
      </x:c>
    </x:row>
    <x:row r="30">
      <x:c r="A30" s="58" t="n">
        <x:v>2024</x:v>
      </x:c>
      <x:c r="B30" s="61" t="n">
        <x:v>5.69</x:v>
      </x:c>
      <x:c r="C30" s="61" t="n">
        <x:v>5.61</x:v>
      </x:c>
      <x:c r="D30" s="61" t="n">
        <x:v>5.17</x:v>
      </x:c>
    </x:row>
    <x:row r="31">
      <x:c r="A31" s="57" t="n">
        <x:v>2025</x:v>
      </x:c>
      <x:c r="B31" s="62" t="n">
        <x:v>5.88</x:v>
      </x:c>
      <x:c r="C31" s="62" t="n">
        <x:v>5.71</x:v>
      </x:c>
      <x:c r="D31" s="62" t="n">
        <x:v>5.19</x:v>
      </x:c>
    </x:row>
  </x:sheetData>
  <x:mergeCells>
    <x:mergeCell ref="A1:P1"/>
    <x:mergeCell ref="A2:P2"/>
    <x:mergeCell ref="A11:D13"/>
  </x:mergeCells>
  <x:pageMargins left="0.7" right="0.7" top="0.75" bottom="0.75" header="0.3" footer="0.3"/>
  <x:drawing xmlns:r="http://schemas.openxmlformats.org/officeDocument/2006/relationships" r:id="Rcf01e305a4844121"/>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44" hidden="0" customWidth="1"/>
    <x:col min="13" max="13" width="44" hidden="0" customWidth="1"/>
    <x:col min="14" max="14" width="44" hidden="0" customWidth="1"/>
    <x:col min="15" max="15" width="28" hidden="0" customWidth="1"/>
    <x:col min="16" max="16" width="28" hidden="0" customWidth="1"/>
  </x:cols>
  <x:sheetData>
    <x:row r="1" ht="19.200000762939453" hidden="0" customHeight="1">
      <x:c r="A1" s="3" t="str">
        <x:v>Serie comparada 2020–2025</x:v>
      </x:c>
      <x:c r="B1" s="3" t="str">
        <x:v>Serie comparada 2020–2025</x:v>
      </x:c>
      <x:c r="C1" s="3" t="str">
        <x:v>Serie comparada 2020–2025</x:v>
      </x:c>
      <x:c r="D1" s="3" t="str">
        <x:v>Serie comparada 2020–2025</x:v>
      </x:c>
      <x:c r="E1" s="3" t="str">
        <x:v>Serie comparada 2020–2025</x:v>
      </x:c>
      <x:c r="F1" s="3" t="str">
        <x:v>Serie comparada 2020–2025</x:v>
      </x:c>
      <x:c r="G1" s="3" t="str">
        <x:v>Serie comparada 2020–2025</x:v>
      </x:c>
      <x:c r="H1" s="3" t="str">
        <x:v>Serie comparada 2020–2025</x:v>
      </x:c>
      <x:c r="I1" s="3" t="str">
        <x:v>Serie comparada 2020–2025</x:v>
      </x:c>
      <x:c r="J1" s="3" t="str">
        <x:v>Serie comparada 2020–2025</x:v>
      </x:c>
      <x:c r="K1" s="3" t="str">
        <x:v>Serie comparada 2020–2025</x:v>
      </x:c>
      <x:c r="L1" s="3" t="str">
        <x:v>Serie comparada 2020–2025</x:v>
      </x:c>
      <x:c r="M1" s="3" t="str">
        <x:v>Serie comparada 2020–2025</x:v>
      </x:c>
      <x:c r="N1" s="3" t="str">
        <x:v>Serie comparada 2020–2025</x:v>
      </x:c>
      <x:c r="O1" s="3" t="str">
        <x:v>Serie comparada 2020–2025</x:v>
      </x:c>
      <x:c r="P1" s="3" t="str">
        <x:v>Serie comparada 2020–2025</x:v>
      </x:c>
    </x:row>
    <x:row r="2" ht="15" hidden="0" customHeight="1">
      <x:c r="A2" s="7" t="str">
        <x:v>Valores agregados del Democracy Index para Perú, América Latina y el mundo. El agregado Perú 2025 conserva su condición de reporte secundario.</x:v>
      </x:c>
      <x:c r="B2" s="7" t="str">
        <x:v>Valores agregados del Democracy Index para Perú, América Latina y el mundo. El agregado Perú 2025 conserva su condición de reporte secundario.</x:v>
      </x:c>
      <x:c r="C2" s="7" t="str">
        <x:v>Valores agregados del Democracy Index para Perú, América Latina y el mundo. El agregado Perú 2025 conserva su condición de reporte secundario.</x:v>
      </x:c>
      <x:c r="D2" s="7" t="str">
        <x:v>Valores agregados del Democracy Index para Perú, América Latina y el mundo. El agregado Perú 2025 conserva su condición de reporte secundario.</x:v>
      </x:c>
      <x:c r="E2" s="7" t="str">
        <x:v>Valores agregados del Democracy Index para Perú, América Latina y el mundo. El agregado Perú 2025 conserva su condición de reporte secundario.</x:v>
      </x:c>
      <x:c r="F2" s="7" t="str">
        <x:v>Valores agregados del Democracy Index para Perú, América Latina y el mundo. El agregado Perú 2025 conserva su condición de reporte secundario.</x:v>
      </x:c>
      <x:c r="G2" s="7" t="str">
        <x:v>Valores agregados del Democracy Index para Perú, América Latina y el mundo. El agregado Perú 2025 conserva su condición de reporte secundario.</x:v>
      </x:c>
      <x:c r="H2" s="7" t="str">
        <x:v>Valores agregados del Democracy Index para Perú, América Latina y el mundo. El agregado Perú 2025 conserva su condición de reporte secundario.</x:v>
      </x:c>
      <x:c r="I2" s="7" t="str">
        <x:v>Valores agregados del Democracy Index para Perú, América Latina y el mundo. El agregado Perú 2025 conserva su condición de reporte secundario.</x:v>
      </x:c>
      <x:c r="J2" s="7" t="str">
        <x:v>Valores agregados del Democracy Index para Perú, América Latina y el mundo. El agregado Perú 2025 conserva su condición de reporte secundario.</x:v>
      </x:c>
      <x:c r="K2" s="7" t="str">
        <x:v>Valores agregados del Democracy Index para Perú, América Latina y el mundo. El agregado Perú 2025 conserva su condición de reporte secundario.</x:v>
      </x:c>
      <x:c r="L2" s="7" t="str">
        <x:v>Valores agregados del Democracy Index para Perú, América Latina y el mundo. El agregado Perú 2025 conserva su condición de reporte secundario.</x:v>
      </x:c>
      <x:c r="M2" s="7" t="str">
        <x:v>Valores agregados del Democracy Index para Perú, América Latina y el mundo. El agregado Perú 2025 conserva su condición de reporte secundario.</x:v>
      </x:c>
      <x:c r="N2" s="7" t="str">
        <x:v>Valores agregados del Democracy Index para Perú, América Latina y el mundo. El agregado Perú 2025 conserva su condición de reporte secundario.</x:v>
      </x:c>
      <x:c r="O2" s="7" t="str">
        <x:v>Valores agregados del Democracy Index para Perú, América Latina y el mundo. El agregado Perú 2025 conserva su condición de reporte secundario.</x:v>
      </x:c>
      <x:c r="P2" s="7" t="str">
        <x:v>Valores agregados del Democracy Index para Perú, América Latina y el mundo. El agregado Perú 2025 conserva su condición de reporte secundario.</x:v>
      </x:c>
    </x:row>
    <x:row r="3" ht="15" hidden="0" customHeight="1">
      <x:c r="A3" s="8"/>
      <x:c r="B3" s="8"/>
      <x:c r="C3" s="8"/>
      <x:c r="D3" s="8"/>
      <x:c r="E3" s="8"/>
      <x:c r="F3" s="8"/>
      <x:c r="G3" s="8"/>
      <x:c r="H3" s="8"/>
      <x:c r="I3" s="8"/>
      <x:c r="J3" s="8"/>
      <x:c r="K3" s="8"/>
      <x:c r="L3" s="8"/>
      <x:c r="M3" s="8"/>
      <x:c r="N3" s="8"/>
      <x:c r="O3" s="8"/>
      <x:c r="P3" s="8"/>
    </x:row>
    <x:row r="4"/>
    <x:row r="5" ht="15" hidden="0" customHeight="1">
      <x:c r="A5" s="14" t="str">
        <x:v>year</x:v>
      </x:c>
      <x:c r="B5" s="14" t="str">
        <x:v>peru_score</x:v>
      </x:c>
      <x:c r="C5" s="14" t="str">
        <x:v>latin_america_score</x:v>
      </x:c>
      <x:c r="D5" s="14" t="str">
        <x:v>world_score</x:v>
      </x:c>
      <x:c r="E5" s="14" t="str">
        <x:v>peru_regime_type</x:v>
      </x:c>
      <x:c r="F5" s="14" t="str">
        <x:v>peru_minus_latam</x:v>
      </x:c>
      <x:c r="G5" s="14" t="str">
        <x:v>peru_minus_world</x:v>
      </x:c>
      <x:c r="H5" s="14" t="str">
        <x:v>latam_minus_world</x:v>
      </x:c>
      <x:c r="I5" s="14" t="str">
        <x:v>peru_pct_change_vs_2020</x:v>
      </x:c>
      <x:c r="J5" s="14" t="str">
        <x:v>latin_america_pct_change_vs_2020</x:v>
      </x:c>
      <x:c r="K5" s="14" t="str">
        <x:v>world_pct_change_vs_2020</x:v>
      </x:c>
      <x:c r="L5" s="14" t="str">
        <x:v>source_peru</x:v>
      </x:c>
      <x:c r="M5" s="14" t="str">
        <x:v>source_latam</x:v>
      </x:c>
      <x:c r="N5" s="14" t="str">
        <x:v>source_world</x:v>
      </x:c>
      <x:c r="O5" s="14" t="str">
        <x:v>peru_rank</x:v>
      </x:c>
      <x:c r="P5" s="14" t="str">
        <x:v>data_status_peru</x:v>
      </x:c>
    </x:row>
    <x:row r="6" ht="15" hidden="0" customHeight="1">
      <x:c r="A6" s="58" t="n">
        <x:v>2020</x:v>
      </x:c>
      <x:c r="B6" s="59" t="n">
        <x:v>6.53</x:v>
      </x:c>
      <x:c r="C6" s="59" t="n">
        <x:v>6.09</x:v>
      </x:c>
      <x:c r="D6" s="59" t="n">
        <x:v>5.37</x:v>
      </x:c>
      <x:c r="E6" s="58" t="str">
        <x:v>Flawed democracy</x:v>
      </x:c>
      <x:c r="F6" s="59" t="n">
        <x:v>0.44</x:v>
      </x:c>
      <x:c r="G6" s="59" t="n">
        <x:v>1.16</x:v>
      </x:c>
      <x:c r="H6" s="59" t="n">
        <x:v>0.72</x:v>
      </x:c>
      <x:c r="I6" s="59" t="n">
        <x:v>0</x:v>
      </x:c>
      <x:c r="J6" s="59" t="n">
        <x:v>0</x:v>
      </x:c>
      <x:c r="K6" s="59" t="n">
        <x:v>0</x:v>
      </x:c>
      <x:c r="L6" s="58" t="str">
        <x:v>EIU, Democracy Index 2020, Table 8, p. 37</x:v>
      </x:c>
      <x:c r="M6" s="58" t="str">
        <x:v>EIU, Democracy Index 2020, Chart 7/Table 8, p. 37</x:v>
      </x:c>
      <x:c r="N6" s="58" t="str">
        <x:v>EIU, Democracy Index 2020, overview + Chart 7, pp. 3–4, 37</x:v>
      </x:c>
      <x:c r="O6" s="58" t="n">
        <x:v>57</x:v>
      </x:c>
      <x:c r="P6" s="58" t="str">
        <x:v>observed_EIU</x:v>
      </x:c>
    </x:row>
    <x:row r="7" ht="15" hidden="0" customHeight="1">
      <x:c r="A7" s="57" t="n">
        <x:v>2021</x:v>
      </x:c>
      <x:c r="B7" s="60" t="n">
        <x:v>6.09</x:v>
      </x:c>
      <x:c r="C7" s="60" t="n">
        <x:v>5.83</x:v>
      </x:c>
      <x:c r="D7" s="60" t="n">
        <x:v>5.28</x:v>
      </x:c>
      <x:c r="E7" s="57" t="str">
        <x:v>Flawed democracy</x:v>
      </x:c>
      <x:c r="F7" s="60" t="n">
        <x:v>0.26</x:v>
      </x:c>
      <x:c r="G7" s="60" t="n">
        <x:v>0.81</x:v>
      </x:c>
      <x:c r="H7" s="60" t="n">
        <x:v>0.55</x:v>
      </x:c>
      <x:c r="I7" s="60" t="n">
        <x:v>-6.74</x:v>
      </x:c>
      <x:c r="J7" s="60" t="n">
        <x:v>-4.27</x:v>
      </x:c>
      <x:c r="K7" s="60" t="n">
        <x:v>-1.68</x:v>
      </x:c>
      <x:c r="L7" s="57" t="str">
        <x:v>EIU, Democracy Index 2021, Table 8, p. 49</x:v>
      </x:c>
      <x:c r="M7" s="57" t="str">
        <x:v>EIU, Democracy Index 2021, category chart, pp. 48–49</x:v>
      </x:c>
      <x:c r="N7" s="57" t="str">
        <x:v>EIU, Democracy Index 2021, category chart, pp. 48–49</x:v>
      </x:c>
      <x:c r="O7" s="57"/>
      <x:c r="P7" s="57" t="str">
        <x:v>observed_EIU</x:v>
      </x:c>
    </x:row>
    <x:row r="8" ht="15" hidden="0" customHeight="1">
      <x:c r="A8" s="58" t="n">
        <x:v>2022</x:v>
      </x:c>
      <x:c r="B8" s="59" t="n">
        <x:v>5.92</x:v>
      </x:c>
      <x:c r="C8" s="59" t="n">
        <x:v>5.79</x:v>
      </x:c>
      <x:c r="D8" s="59" t="n">
        <x:v>5.29</x:v>
      </x:c>
      <x:c r="E8" s="58" t="str">
        <x:v>Hybrid regime</x:v>
      </x:c>
      <x:c r="F8" s="59" t="n">
        <x:v>0.13</x:v>
      </x:c>
      <x:c r="G8" s="59" t="n">
        <x:v>0.63</x:v>
      </x:c>
      <x:c r="H8" s="59" t="n">
        <x:v>0.5</x:v>
      </x:c>
      <x:c r="I8" s="59" t="n">
        <x:v>-9.34</x:v>
      </x:c>
      <x:c r="J8" s="59" t="n">
        <x:v>-4.93</x:v>
      </x:c>
      <x:c r="K8" s="59" t="n">
        <x:v>-1.49</x:v>
      </x:c>
      <x:c r="L8" s="58" t="str">
        <x:v>EIU, Democracy Index 2022, Table 8, pp. 43–44</x:v>
      </x:c>
      <x:c r="M8" s="58" t="str">
        <x:v>EIU, Democracy Index 2022, category chart, pp. 43–45</x:v>
      </x:c>
      <x:c r="N8" s="58" t="str">
        <x:v>EIU, Democracy Index 2022, overview + chart, pp. 3–7, 43–45</x:v>
      </x:c>
      <x:c r="O8" s="58" t="n">
        <x:v>75</x:v>
      </x:c>
      <x:c r="P8" s="58" t="str">
        <x:v>observed_EIU</x:v>
      </x:c>
    </x:row>
    <x:row r="9" ht="15" hidden="0" customHeight="1">
      <x:c r="A9" s="57" t="n">
        <x:v>2023</x:v>
      </x:c>
      <x:c r="B9" s="60" t="n">
        <x:v>5.81</x:v>
      </x:c>
      <x:c r="C9" s="60" t="n">
        <x:v>5.68</x:v>
      </x:c>
      <x:c r="D9" s="60" t="n">
        <x:v>5.23</x:v>
      </x:c>
      <x:c r="E9" s="57" t="str">
        <x:v>Hybrid regime</x:v>
      </x:c>
      <x:c r="F9" s="60" t="n">
        <x:v>0.13</x:v>
      </x:c>
      <x:c r="G9" s="60" t="n">
        <x:v>0.58</x:v>
      </x:c>
      <x:c r="H9" s="60" t="n">
        <x:v>0.45</x:v>
      </x:c>
      <x:c r="I9" s="60" t="n">
        <x:v>-11.03</x:v>
      </x:c>
      <x:c r="J9" s="60" t="n">
        <x:v>-6.73</x:v>
      </x:c>
      <x:c r="K9" s="60" t="n">
        <x:v>-2.61</x:v>
      </x:c>
      <x:c r="L9" s="57" t="str">
        <x:v>EIU, Democracy Index 2023, Table 2, p. 13</x:v>
      </x:c>
      <x:c r="M9" s="57" t="str">
        <x:v>EIU, Democracy Index 2023, category chart, pp. 45–46</x:v>
      </x:c>
      <x:c r="N9" s="57" t="str">
        <x:v>EIU, Democracy Index 2023, overview + chart, pp. 3–5, 45–46</x:v>
      </x:c>
      <x:c r="O9" s="57"/>
      <x:c r="P9" s="57" t="str">
        <x:v>observed_EIU</x:v>
      </x:c>
    </x:row>
    <x:row r="10" ht="15" hidden="0" customHeight="1">
      <x:c r="A10" s="58" t="n">
        <x:v>2024</x:v>
      </x:c>
      <x:c r="B10" s="59" t="n">
        <x:v>5.69</x:v>
      </x:c>
      <x:c r="C10" s="59" t="n">
        <x:v>5.61</x:v>
      </x:c>
      <x:c r="D10" s="59" t="n">
        <x:v>5.17</x:v>
      </x:c>
      <x:c r="E10" s="58" t="str">
        <x:v>Hybrid regime</x:v>
      </x:c>
      <x:c r="F10" s="59" t="n">
        <x:v>0.08</x:v>
      </x:c>
      <x:c r="G10" s="59" t="n">
        <x:v>0.52</x:v>
      </x:c>
      <x:c r="H10" s="59" t="n">
        <x:v>0.44</x:v>
      </x:c>
      <x:c r="I10" s="59" t="n">
        <x:v>-12.86</x:v>
      </x:c>
      <x:c r="J10" s="59" t="n">
        <x:v>-7.88</x:v>
      </x:c>
      <x:c r="K10" s="59" t="n">
        <x:v>-3.72</x:v>
      </x:c>
      <x:c r="L10" s="58" t="str">
        <x:v>EIU, Democracy Index 2024, Table 2, p. 18 / Table 6, p. 54</x:v>
      </x:c>
      <x:c r="M10" s="58" t="str">
        <x:v>EIU, Democracy Index 2024, Table 6, pp. 53–54</x:v>
      </x:c>
      <x:c r="N10" s="58" t="str">
        <x:v>EIU, Democracy Index 2024, overview + category chart, pp. 6–12, 43</x:v>
      </x:c>
      <x:c r="O10" s="58" t="n">
        <x:v>78</x:v>
      </x:c>
      <x:c r="P10" s="58" t="str">
        <x:v>observed_EIU</x:v>
      </x:c>
    </x:row>
    <x:row r="11" ht="15" hidden="0" customHeight="1">
      <x:c r="A11" s="57" t="n">
        <x:v>2025</x:v>
      </x:c>
      <x:c r="B11" s="60" t="n">
        <x:v>5.88</x:v>
      </x:c>
      <x:c r="C11" s="60" t="n">
        <x:v>5.71</x:v>
      </x:c>
      <x:c r="D11" s="60" t="n">
        <x:v>5.19</x:v>
      </x:c>
      <x:c r="E11" s="57" t="str">
        <x:v>Hybrid regime</x:v>
      </x:c>
      <x:c r="F11" s="60" t="n">
        <x:v>0.17</x:v>
      </x:c>
      <x:c r="G11" s="60" t="n">
        <x:v>0.69</x:v>
      </x:c>
      <x:c r="H11" s="60" t="n">
        <x:v>0.52</x:v>
      </x:c>
      <x:c r="I11" s="60" t="n">
        <x:v>-9.95</x:v>
      </x:c>
      <x:c r="J11" s="60" t="n">
        <x:v>-6.24</x:v>
      </x:c>
      <x:c r="K11" s="60" t="n">
        <x:v>-3.35</x:v>
      </x:c>
      <x:c r="L11" s="57" t="str">
        <x:v>EIU Democracy Index 2025 overall score reported in a secondary cross-country time-series table; the supplied EIU summary does not publish the Peru country table.</x:v>
      </x:c>
      <x:c r="M11" s="57" t="str">
        <x:v>EIU, Democracy Index 2025, Latin America and the Caribbean, Figure 14 / p. 24.</x:v>
      </x:c>
      <x:c r="N11" s="57" t="str">
        <x:v>EIU, Democracy Index 2025, Figure 14 / p. 24.</x:v>
      </x:c>
      <x:c r="O11" s="57" t="n">
        <x:v>76</x:v>
      </x:c>
      <x:c r="P11" s="57" t="str">
        <x:v>secondary_reported_aggregate</x:v>
      </x:c>
    </x:row>
  </x:sheetData>
  <x:mergeCells>
    <x:mergeCell ref="A1:P1"/>
    <x:mergeCell ref="A2:P2"/>
  </x:mergeCells>
  <x:pageMargins left="0.7" right="0.7" top="0.75" bottom="0.75" header="0.3" footer="0.3"/>
  <x:drawing xmlns:r="http://schemas.openxmlformats.org/officeDocument/2006/relationships" r:id="R68c7c750b9ed4780"/>
  <x:tableParts count="1">
    <x:tablePart xmlns:r="http://schemas.openxmlformats.org/officeDocument/2006/relationships" r:id="Rccb26910906d461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26" hidden="0" customWidth="1"/>
    <x:col min="8" max="8" width="26" hidden="0" customWidth="1"/>
    <x:col min="9" max="9" width="26" hidden="0" customWidth="1"/>
    <x:col min="10" max="10" width="44" hidden="0" customWidth="1"/>
    <x:col min="11" max="11" width="44" hidden="0" customWidth="1"/>
    <x:col min="12" max="12" width="44" hidden="0" customWidth="1"/>
    <x:col min="13" max="13" width="26" hidden="0" customWidth="1"/>
    <x:col min="14" max="14" width="26" hidden="0" customWidth="1"/>
    <x:col min="15" max="15" width="26" hidden="0" customWidth="1"/>
  </x:cols>
  <x:sheetData>
    <x:row r="1" ht="19.200000762939453" hidden="0" customHeight="1">
      <x:c r="A1" s="3" t="str">
        <x:v>Dimensiones 2020–2025</x:v>
      </x:c>
      <x:c r="B1" s="3" t="str">
        <x:v>Dimensiones 2020–2025</x:v>
      </x:c>
      <x:c r="C1" s="3" t="str">
        <x:v>Dimensiones 2020–2025</x:v>
      </x:c>
      <x:c r="D1" s="3" t="str">
        <x:v>Dimensiones 2020–2025</x:v>
      </x:c>
      <x:c r="E1" s="3" t="str">
        <x:v>Dimensiones 2020–2025</x:v>
      </x:c>
      <x:c r="F1" s="3" t="str">
        <x:v>Dimensiones 2020–2025</x:v>
      </x:c>
      <x:c r="G1" s="3" t="str">
        <x:v>Dimensiones 2020–2025</x:v>
      </x:c>
      <x:c r="H1" s="3" t="str">
        <x:v>Dimensiones 2020–2025</x:v>
      </x:c>
      <x:c r="I1" s="3" t="str">
        <x:v>Dimensiones 2020–2025</x:v>
      </x:c>
      <x:c r="J1" s="3" t="str">
        <x:v>Dimensiones 2020–2025</x:v>
      </x:c>
      <x:c r="K1" s="3" t="str">
        <x:v>Dimensiones 2020–2025</x:v>
      </x:c>
      <x:c r="L1" s="3" t="str">
        <x:v>Dimensiones 2020–2025</x:v>
      </x:c>
      <x:c r="M1" s="3" t="str">
        <x:v>Dimensiones 2020–2025</x:v>
      </x:c>
      <x:c r="N1" s="3" t="str">
        <x:v>Dimensiones 2020–2025</x:v>
      </x:c>
      <x:c r="O1" s="3" t="str">
        <x:v>Dimensiones 2020–2025</x:v>
      </x:c>
    </x:row>
    <x:row r="2" ht="15" hidden="0" customHeight="1">
      <x:c r="A2" s="7" t="str">
        <x:v>2020–2024: valores observados de las ediciones EIU. 2025 Perú: ancla central latente modelada; no es un subpuntaje oficial publicado por EIU.</x:v>
      </x:c>
      <x:c r="B2" s="7" t="str">
        <x:v>2020–2024: valores observados de las ediciones EIU. 2025 Perú: ancla central latente modelada; no es un subpuntaje oficial publicado por EIU.</x:v>
      </x:c>
      <x:c r="C2" s="7" t="str">
        <x:v>2020–2024: valores observados de las ediciones EIU. 2025 Perú: ancla central latente modelada; no es un subpuntaje oficial publicado por EIU.</x:v>
      </x:c>
      <x:c r="D2" s="7" t="str">
        <x:v>2020–2024: valores observados de las ediciones EIU. 2025 Perú: ancla central latente modelada; no es un subpuntaje oficial publicado por EIU.</x:v>
      </x:c>
      <x:c r="E2" s="7" t="str">
        <x:v>2020–2024: valores observados de las ediciones EIU. 2025 Perú: ancla central latente modelada; no es un subpuntaje oficial publicado por EIU.</x:v>
      </x:c>
      <x:c r="F2" s="7" t="str">
        <x:v>2020–2024: valores observados de las ediciones EIU. 2025 Perú: ancla central latente modelada; no es un subpuntaje oficial publicado por EIU.</x:v>
      </x:c>
      <x:c r="G2" s="7" t="str">
        <x:v>2020–2024: valores observados de las ediciones EIU. 2025 Perú: ancla central latente modelada; no es un subpuntaje oficial publicado por EIU.</x:v>
      </x:c>
      <x:c r="H2" s="7" t="str">
        <x:v>2020–2024: valores observados de las ediciones EIU. 2025 Perú: ancla central latente modelada; no es un subpuntaje oficial publicado por EIU.</x:v>
      </x:c>
      <x:c r="I2" s="7" t="str">
        <x:v>2020–2024: valores observados de las ediciones EIU. 2025 Perú: ancla central latente modelada; no es un subpuntaje oficial publicado por EIU.</x:v>
      </x:c>
      <x:c r="J2" s="7" t="str">
        <x:v>2020–2024: valores observados de las ediciones EIU. 2025 Perú: ancla central latente modelada; no es un subpuntaje oficial publicado por EIU.</x:v>
      </x:c>
      <x:c r="K2" s="7" t="str">
        <x:v>2020–2024: valores observados de las ediciones EIU. 2025 Perú: ancla central latente modelada; no es un subpuntaje oficial publicado por EIU.</x:v>
      </x:c>
      <x:c r="L2" s="7" t="str">
        <x:v>2020–2024: valores observados de las ediciones EIU. 2025 Perú: ancla central latente modelada; no es un subpuntaje oficial publicado por EIU.</x:v>
      </x:c>
      <x:c r="M2" s="7" t="str">
        <x:v>2020–2024: valores observados de las ediciones EIU. 2025 Perú: ancla central latente modelada; no es un subpuntaje oficial publicado por EIU.</x:v>
      </x:c>
      <x:c r="N2" s="7" t="str">
        <x:v>2020–2024: valores observados de las ediciones EIU. 2025 Perú: ancla central latente modelada; no es un subpuntaje oficial publicado por EIU.</x:v>
      </x:c>
      <x:c r="O2" s="7" t="str">
        <x:v>2020–2024: valores observados de las ediciones EIU. 2025 Perú: ancla central latente modelada; no es un subpuntaje oficial publicado por EIU.</x:v>
      </x:c>
    </x:row>
    <x:row r="3" ht="15" hidden="0" customHeight="1">
      <x:c r="A3" s="8"/>
      <x:c r="B3" s="8"/>
      <x:c r="C3" s="8"/>
      <x:c r="D3" s="8"/>
      <x:c r="E3" s="8"/>
      <x:c r="F3" s="8"/>
      <x:c r="G3" s="8"/>
      <x:c r="H3" s="8"/>
      <x:c r="I3" s="8"/>
      <x:c r="J3" s="8"/>
      <x:c r="K3" s="8"/>
      <x:c r="L3" s="8"/>
      <x:c r="M3" s="8"/>
      <x:c r="N3" s="8"/>
      <x:c r="O3" s="8"/>
    </x:row>
    <x:row r="4"/>
    <x:row r="5" ht="15" hidden="0" customHeight="1">
      <x:c r="A5" s="14" t="str">
        <x:v>year</x:v>
      </x:c>
      <x:c r="B5" s="14" t="str">
        <x:v>category</x:v>
      </x:c>
      <x:c r="C5" s="14" t="str">
        <x:v>category_full</x:v>
      </x:c>
      <x:c r="D5" s="14" t="str">
        <x:v>peru_score</x:v>
      </x:c>
      <x:c r="E5" s="14" t="str">
        <x:v>latin_america_score</x:v>
      </x:c>
      <x:c r="F5" s="14" t="str">
        <x:v>world_score</x:v>
      </x:c>
      <x:c r="G5" s="14" t="str">
        <x:v>peru_minus_latam</x:v>
      </x:c>
      <x:c r="H5" s="14" t="str">
        <x:v>peru_minus_world</x:v>
      </x:c>
      <x:c r="I5" s="14" t="str">
        <x:v>latam_minus_world</x:v>
      </x:c>
      <x:c r="J5" s="14" t="str">
        <x:v>source_peru</x:v>
      </x:c>
      <x:c r="K5" s="14" t="str">
        <x:v>source_latam</x:v>
      </x:c>
      <x:c r="L5" s="14" t="str">
        <x:v>source_world</x:v>
      </x:c>
      <x:c r="M5" s="14" t="str">
        <x:v>data_status_peru</x:v>
      </x:c>
      <x:c r="N5" s="14" t="str">
        <x:v>data_status_latam</x:v>
      </x:c>
      <x:c r="O5" s="14" t="str">
        <x:v>data_status_world</x:v>
      </x:c>
    </x:row>
    <x:row r="6" ht="15" hidden="0" customHeight="1">
      <x:c r="A6" s="59" t="n">
        <x:v>2020</x:v>
      </x:c>
      <x:c r="B6" s="58" t="str">
        <x:v>Libertades civiles</x:v>
      </x:c>
      <x:c r="C6" s="58" t="str">
        <x:v>Civil liberties</x:v>
      </x:c>
      <x:c r="D6" s="59" t="n">
        <x:v>7.35</x:v>
      </x:c>
      <x:c r="E6" s="59" t="n">
        <x:v>6.79</x:v>
      </x:c>
      <x:c r="F6" s="59" t="n">
        <x:v>5.56</x:v>
      </x:c>
      <x:c r="G6" s="59" t="n">
        <x:v>0.56</x:v>
      </x:c>
      <x:c r="H6" s="59" t="n">
        <x:v>1.79</x:v>
      </x:c>
      <x:c r="I6" s="59" t="n">
        <x:v>1.23</x:v>
      </x:c>
      <x:c r="J6" s="58" t="str">
        <x:v>EIU, Democracy Index 2020, Table 8, p. 37</x:v>
      </x:c>
      <x:c r="K6" s="58" t="str">
        <x:v>EIU, Democracy Index 2020, Chart 7/Table 8, p. 37</x:v>
      </x:c>
      <x:c r="L6" s="58" t="str">
        <x:v>EIU, Democracy Index 2020, overview + Chart 7, pp. 3–4, 37</x:v>
      </x:c>
      <x:c r="M6" s="58" t="str">
        <x:v>observed_EIU</x:v>
      </x:c>
      <x:c r="N6" s="58" t="str">
        <x:v>observed_EIU</x:v>
      </x:c>
      <x:c r="O6" s="58" t="str">
        <x:v>observed_EIU</x:v>
      </x:c>
    </x:row>
    <x:row r="7" ht="15" hidden="0" customHeight="1">
      <x:c r="A7" s="60" t="n">
        <x:v>2020</x:v>
      </x:c>
      <x:c r="B7" s="57" t="str">
        <x:v>Proceso electoral</x:v>
      </x:c>
      <x:c r="C7" s="57" t="str">
        <x:v>Electoral process and pluralism</x:v>
      </x:c>
      <x:c r="D7" s="60" t="n">
        <x:v>8.75</x:v>
      </x:c>
      <x:c r="E7" s="60" t="n">
        <x:v>7.48</x:v>
      </x:c>
      <x:c r="F7" s="60" t="n">
        <x:v>5.18</x:v>
      </x:c>
      <x:c r="G7" s="60" t="n">
        <x:v>1.27</x:v>
      </x:c>
      <x:c r="H7" s="60" t="n">
        <x:v>3.57</x:v>
      </x:c>
      <x:c r="I7" s="60" t="n">
        <x:v>2.3</x:v>
      </x:c>
      <x:c r="J7" s="57" t="str">
        <x:v>EIU, Democracy Index 2020, Table 8, p. 37</x:v>
      </x:c>
      <x:c r="K7" s="57" t="str">
        <x:v>EIU, Democracy Index 2020, Chart 7/Table 8, p. 37</x:v>
      </x:c>
      <x:c r="L7" s="57" t="str">
        <x:v>EIU, Democracy Index 2020, overview + Chart 7, pp. 3–4, 37</x:v>
      </x:c>
      <x:c r="M7" s="57" t="str">
        <x:v>observed_EIU</x:v>
      </x:c>
      <x:c r="N7" s="57" t="str">
        <x:v>observed_EIU</x:v>
      </x:c>
      <x:c r="O7" s="57" t="str">
        <x:v>observed_EIU</x:v>
      </x:c>
    </x:row>
    <x:row r="8" ht="15" hidden="0" customHeight="1">
      <x:c r="A8" s="59" t="n">
        <x:v>2020</x:v>
      </x:c>
      <x:c r="B8" s="58" t="str">
        <x:v>Gobierno</x:v>
      </x:c>
      <x:c r="C8" s="58" t="str">
        <x:v>Functioning of government</x:v>
      </x:c>
      <x:c r="D8" s="59" t="n">
        <x:v>5.36</x:v>
      </x:c>
      <x:c r="E8" s="59" t="n">
        <x:v>5.21</x:v>
      </x:c>
      <x:c r="F8" s="59" t="n">
        <x:v>5.42</x:v>
      </x:c>
      <x:c r="G8" s="59" t="n">
        <x:v>0.15</x:v>
      </x:c>
      <x:c r="H8" s="59" t="n">
        <x:v>-0.06</x:v>
      </x:c>
      <x:c r="I8" s="59" t="n">
        <x:v>-0.21</x:v>
      </x:c>
      <x:c r="J8" s="58" t="str">
        <x:v>EIU, Democracy Index 2020, Table 8, p. 37</x:v>
      </x:c>
      <x:c r="K8" s="58" t="str">
        <x:v>EIU, Democracy Index 2020, Chart 7/Table 8, p. 37</x:v>
      </x:c>
      <x:c r="L8" s="58" t="str">
        <x:v>EIU, Democracy Index 2020, overview + Chart 7, pp. 3–4, 37</x:v>
      </x:c>
      <x:c r="M8" s="58" t="str">
        <x:v>observed_EIU</x:v>
      </x:c>
      <x:c r="N8" s="58" t="str">
        <x:v>observed_EIU</x:v>
      </x:c>
      <x:c r="O8" s="58" t="str">
        <x:v>observed_EIU</x:v>
      </x:c>
    </x:row>
    <x:row r="9" ht="15" hidden="0" customHeight="1">
      <x:c r="A9" s="60" t="n">
        <x:v>2020</x:v>
      </x:c>
      <x:c r="B9" s="57" t="str">
        <x:v>Cultura política</x:v>
      </x:c>
      <x:c r="C9" s="57" t="str">
        <x:v>Political culture</x:v>
      </x:c>
      <x:c r="D9" s="60" t="n">
        <x:v>5.63</x:v>
      </x:c>
      <x:c r="E9" s="60" t="n">
        <x:v>4.71</x:v>
      </x:c>
      <x:c r="F9" s="60" t="n">
        <x:v>5.79</x:v>
      </x:c>
      <x:c r="G9" s="60" t="n">
        <x:v>0.92</x:v>
      </x:c>
      <x:c r="H9" s="60" t="n">
        <x:v>-0.16</x:v>
      </x:c>
      <x:c r="I9" s="60" t="n">
        <x:v>-1.08</x:v>
      </x:c>
      <x:c r="J9" s="57" t="str">
        <x:v>EIU, Democracy Index 2020, Table 8, p. 37</x:v>
      </x:c>
      <x:c r="K9" s="57" t="str">
        <x:v>EIU, Democracy Index 2020, Chart 7/Table 8, p. 37</x:v>
      </x:c>
      <x:c r="L9" s="57" t="str">
        <x:v>EIU, Democracy Index 2020, overview + Chart 7, pp. 3–4, 37</x:v>
      </x:c>
      <x:c r="M9" s="57" t="str">
        <x:v>observed_EIU</x:v>
      </x:c>
      <x:c r="N9" s="57" t="str">
        <x:v>observed_EIU</x:v>
      </x:c>
      <x:c r="O9" s="57" t="str">
        <x:v>observed_EIU</x:v>
      </x:c>
    </x:row>
    <x:row r="10" ht="15" hidden="0" customHeight="1">
      <x:c r="A10" s="59" t="n">
        <x:v>2020</x:v>
      </x:c>
      <x:c r="B10" s="58" t="str">
        <x:v>Participación</x:v>
      </x:c>
      <x:c r="C10" s="58" t="str">
        <x:v>Political participation</x:v>
      </x:c>
      <x:c r="D10" s="59" t="n">
        <x:v>5.56</x:v>
      </x:c>
      <x:c r="E10" s="59" t="n">
        <x:v>5.81</x:v>
      </x:c>
      <x:c r="F10" s="59" t="n">
        <x:v>5.52</x:v>
      </x:c>
      <x:c r="G10" s="59" t="n">
        <x:v>-0.25</x:v>
      </x:c>
      <x:c r="H10" s="59" t="n">
        <x:v>0.04</x:v>
      </x:c>
      <x:c r="I10" s="59" t="n">
        <x:v>0.29</x:v>
      </x:c>
      <x:c r="J10" s="58" t="str">
        <x:v>EIU, Democracy Index 2020, Table 8, p. 37</x:v>
      </x:c>
      <x:c r="K10" s="58" t="str">
        <x:v>EIU, Democracy Index 2020, Chart 7/Table 8, p. 37</x:v>
      </x:c>
      <x:c r="L10" s="58" t="str">
        <x:v>EIU, Democracy Index 2020, overview + Chart 7, pp. 3–4, 37</x:v>
      </x:c>
      <x:c r="M10" s="58" t="str">
        <x:v>observed_EIU</x:v>
      </x:c>
      <x:c r="N10" s="58" t="str">
        <x:v>observed_EIU</x:v>
      </x:c>
      <x:c r="O10" s="58" t="str">
        <x:v>observed_EIU</x:v>
      </x:c>
    </x:row>
    <x:row r="11" ht="15" hidden="0" customHeight="1">
      <x:c r="A11" s="60" t="n">
        <x:v>2021</x:v>
      </x:c>
      <x:c r="B11" s="57" t="str">
        <x:v>Libertades civiles</x:v>
      </x:c>
      <x:c r="C11" s="57" t="str">
        <x:v>Civil liberties</x:v>
      </x:c>
      <x:c r="D11" s="60" t="n">
        <x:v>7.06</x:v>
      </x:c>
      <x:c r="E11" s="60" t="n">
        <x:v>6.64</x:v>
      </x:c>
      <x:c r="F11" s="60" t="n">
        <x:v>5.35</x:v>
      </x:c>
      <x:c r="G11" s="60" t="n">
        <x:v>0.42</x:v>
      </x:c>
      <x:c r="H11" s="60" t="n">
        <x:v>1.71</x:v>
      </x:c>
      <x:c r="I11" s="60" t="n">
        <x:v>1.29</x:v>
      </x:c>
      <x:c r="J11" s="57" t="str">
        <x:v>EIU, Democracy Index 2021, Table 8, p. 49</x:v>
      </x:c>
      <x:c r="K11" s="57" t="str">
        <x:v>EIU, Democracy Index 2021, category chart, pp. 48–49</x:v>
      </x:c>
      <x:c r="L11" s="57" t="str">
        <x:v>EIU, Democracy Index 2021, category chart, pp. 48–49</x:v>
      </x:c>
      <x:c r="M11" s="57" t="str">
        <x:v>observed_EIU</x:v>
      </x:c>
      <x:c r="N11" s="57" t="str">
        <x:v>observed_EIU</x:v>
      </x:c>
      <x:c r="O11" s="57" t="str">
        <x:v>observed_EIU</x:v>
      </x:c>
    </x:row>
    <x:row r="12" ht="15" hidden="0" customHeight="1">
      <x:c r="A12" s="59" t="n">
        <x:v>2021</x:v>
      </x:c>
      <x:c r="B12" s="58" t="str">
        <x:v>Proceso electoral</x:v>
      </x:c>
      <x:c r="C12" s="58" t="str">
        <x:v>Electoral process and pluralism</x:v>
      </x:c>
      <x:c r="D12" s="59" t="n">
        <x:v>8.75</x:v>
      </x:c>
      <x:c r="E12" s="59" t="n">
        <x:v>7.35</x:v>
      </x:c>
      <x:c r="F12" s="59" t="n">
        <x:v>5.6</x:v>
      </x:c>
      <x:c r="G12" s="59" t="n">
        <x:v>1.4</x:v>
      </x:c>
      <x:c r="H12" s="59" t="n">
        <x:v>3.15</x:v>
      </x:c>
      <x:c r="I12" s="59" t="n">
        <x:v>1.75</x:v>
      </x:c>
      <x:c r="J12" s="58" t="str">
        <x:v>EIU, Democracy Index 2021, Table 8, p. 49</x:v>
      </x:c>
      <x:c r="K12" s="58" t="str">
        <x:v>EIU, Democracy Index 2021, category chart, pp. 48–49</x:v>
      </x:c>
      <x:c r="L12" s="58" t="str">
        <x:v>EIU, Democracy Index 2021, category chart, pp. 48–49</x:v>
      </x:c>
      <x:c r="M12" s="58" t="str">
        <x:v>observed_EIU</x:v>
      </x:c>
      <x:c r="N12" s="58" t="str">
        <x:v>observed_EIU</x:v>
      </x:c>
      <x:c r="O12" s="58" t="str">
        <x:v>observed_EIU</x:v>
      </x:c>
    </x:row>
    <x:row r="13" ht="15" hidden="0" customHeight="1">
      <x:c r="A13" s="60" t="n">
        <x:v>2021</x:v>
      </x:c>
      <x:c r="B13" s="57" t="str">
        <x:v>Gobierno</x:v>
      </x:c>
      <x:c r="C13" s="57" t="str">
        <x:v>Functioning of government</x:v>
      </x:c>
      <x:c r="D13" s="60" t="n">
        <x:v>5.36</x:v>
      </x:c>
      <x:c r="E13" s="60" t="n">
        <x:v>5.03</x:v>
      </x:c>
      <x:c r="F13" s="60" t="n">
        <x:v>4.62</x:v>
      </x:c>
      <x:c r="G13" s="60" t="n">
        <x:v>0.33</x:v>
      </x:c>
      <x:c r="H13" s="60" t="n">
        <x:v>0.74</x:v>
      </x:c>
      <x:c r="I13" s="60" t="n">
        <x:v>0.41</x:v>
      </x:c>
      <x:c r="J13" s="57" t="str">
        <x:v>EIU, Democracy Index 2021, Table 8, p. 49</x:v>
      </x:c>
      <x:c r="K13" s="57" t="str">
        <x:v>EIU, Democracy Index 2021, category chart, pp. 48–49</x:v>
      </x:c>
      <x:c r="L13" s="57" t="str">
        <x:v>EIU, Democracy Index 2021, category chart, pp. 48–49</x:v>
      </x:c>
      <x:c r="M13" s="57" t="str">
        <x:v>observed_EIU</x:v>
      </x:c>
      <x:c r="N13" s="57" t="str">
        <x:v>observed_EIU</x:v>
      </x:c>
      <x:c r="O13" s="57" t="str">
        <x:v>observed_EIU</x:v>
      </x:c>
    </x:row>
    <x:row r="14" ht="15" hidden="0" customHeight="1">
      <x:c r="A14" s="59" t="n">
        <x:v>2021</x:v>
      </x:c>
      <x:c r="B14" s="58" t="str">
        <x:v>Cultura política</x:v>
      </x:c>
      <x:c r="C14" s="58" t="str">
        <x:v>Political culture</x:v>
      </x:c>
      <x:c r="D14" s="59" t="n">
        <x:v>3.75</x:v>
      </x:c>
      <x:c r="E14" s="59" t="n">
        <x:v>4.53</x:v>
      </x:c>
      <x:c r="F14" s="59" t="n">
        <x:v>5.36</x:v>
      </x:c>
      <x:c r="G14" s="59" t="n">
        <x:v>-0.78</x:v>
      </x:c>
      <x:c r="H14" s="59" t="n">
        <x:v>-1.61</x:v>
      </x:c>
      <x:c r="I14" s="59" t="n">
        <x:v>-0.83</x:v>
      </x:c>
      <x:c r="J14" s="58" t="str">
        <x:v>EIU, Democracy Index 2021, Table 8, p. 49</x:v>
      </x:c>
      <x:c r="K14" s="58" t="str">
        <x:v>EIU, Democracy Index 2021, category chart, pp. 48–49</x:v>
      </x:c>
      <x:c r="L14" s="58" t="str">
        <x:v>EIU, Democracy Index 2021, category chart, pp. 48–49</x:v>
      </x:c>
      <x:c r="M14" s="58" t="str">
        <x:v>observed_EIU</x:v>
      </x:c>
      <x:c r="N14" s="58" t="str">
        <x:v>observed_EIU</x:v>
      </x:c>
      <x:c r="O14" s="58" t="str">
        <x:v>observed_EIU</x:v>
      </x:c>
    </x:row>
    <x:row r="15" ht="15" hidden="0" customHeight="1">
      <x:c r="A15" s="60" t="n">
        <x:v>2021</x:v>
      </x:c>
      <x:c r="B15" s="57" t="str">
        <x:v>Participación</x:v>
      </x:c>
      <x:c r="C15" s="57" t="str">
        <x:v>Political participation</x:v>
      </x:c>
      <x:c r="D15" s="60" t="n">
        <x:v>5.56</x:v>
      </x:c>
      <x:c r="E15" s="60" t="n">
        <x:v>5.58</x:v>
      </x:c>
      <x:c r="F15" s="60" t="n">
        <x:v>5.37</x:v>
      </x:c>
      <x:c r="G15" s="60" t="n">
        <x:v>-0.02</x:v>
      </x:c>
      <x:c r="H15" s="60" t="n">
        <x:v>0.19</x:v>
      </x:c>
      <x:c r="I15" s="60" t="n">
        <x:v>0.21</x:v>
      </x:c>
      <x:c r="J15" s="57" t="str">
        <x:v>EIU, Democracy Index 2021, Table 8, p. 49</x:v>
      </x:c>
      <x:c r="K15" s="57" t="str">
        <x:v>EIU, Democracy Index 2021, category chart, pp. 48–49</x:v>
      </x:c>
      <x:c r="L15" s="57" t="str">
        <x:v>EIU, Democracy Index 2021, category chart, pp. 48–49</x:v>
      </x:c>
      <x:c r="M15" s="57" t="str">
        <x:v>observed_EIU</x:v>
      </x:c>
      <x:c r="N15" s="57" t="str">
        <x:v>observed_EIU</x:v>
      </x:c>
      <x:c r="O15" s="57" t="str">
        <x:v>observed_EIU</x:v>
      </x:c>
    </x:row>
    <x:row r="16" ht="15" hidden="0" customHeight="1">
      <x:c r="A16" s="59" t="n">
        <x:v>2022</x:v>
      </x:c>
      <x:c r="B16" s="58" t="str">
        <x:v>Libertades civiles</x:v>
      </x:c>
      <x:c r="C16" s="58" t="str">
        <x:v>Civil liberties</x:v>
      </x:c>
      <x:c r="D16" s="59" t="n">
        <x:v>6.47</x:v>
      </x:c>
      <x:c r="E16" s="59" t="n">
        <x:v>6.61</x:v>
      </x:c>
      <x:c r="F16" s="59" t="n">
        <x:v>5.43</x:v>
      </x:c>
      <x:c r="G16" s="59" t="n">
        <x:v>-0.14</x:v>
      </x:c>
      <x:c r="H16" s="59" t="n">
        <x:v>1.04</x:v>
      </x:c>
      <x:c r="I16" s="59" t="n">
        <x:v>1.18</x:v>
      </x:c>
      <x:c r="J16" s="58" t="str">
        <x:v>EIU, Democracy Index 2022, Table 8, pp. 43–44</x:v>
      </x:c>
      <x:c r="K16" s="58" t="str">
        <x:v>EIU, Democracy Index 2022, category chart, pp. 43–45</x:v>
      </x:c>
      <x:c r="L16" s="58" t="str">
        <x:v>EIU, Democracy Index 2022, overview + chart, pp. 3–7, 43–45</x:v>
      </x:c>
      <x:c r="M16" s="58" t="str">
        <x:v>observed_EIU</x:v>
      </x:c>
      <x:c r="N16" s="58" t="str">
        <x:v>observed_EIU</x:v>
      </x:c>
      <x:c r="O16" s="58" t="str">
        <x:v>observed_EIU</x:v>
      </x:c>
    </x:row>
    <x:row r="17" ht="15" hidden="0" customHeight="1">
      <x:c r="A17" s="60" t="n">
        <x:v>2022</x:v>
      </x:c>
      <x:c r="B17" s="57" t="str">
        <x:v>Proceso electoral</x:v>
      </x:c>
      <x:c r="C17" s="57" t="str">
        <x:v>Electoral process and pluralism</x:v>
      </x:c>
      <x:c r="D17" s="60" t="n">
        <x:v>8.75</x:v>
      </x:c>
      <x:c r="E17" s="60" t="n">
        <x:v>7.19</x:v>
      </x:c>
      <x:c r="F17" s="60" t="n">
        <x:v>5.59</x:v>
      </x:c>
      <x:c r="G17" s="60" t="n">
        <x:v>1.56</x:v>
      </x:c>
      <x:c r="H17" s="60" t="n">
        <x:v>3.16</x:v>
      </x:c>
      <x:c r="I17" s="60" t="n">
        <x:v>1.6</x:v>
      </x:c>
      <x:c r="J17" s="57" t="str">
        <x:v>EIU, Democracy Index 2022, Table 8, pp. 43–44</x:v>
      </x:c>
      <x:c r="K17" s="57" t="str">
        <x:v>EIU, Democracy Index 2022, category chart, pp. 43–45</x:v>
      </x:c>
      <x:c r="L17" s="57" t="str">
        <x:v>EIU, Democracy Index 2022, overview + chart, pp. 3–7, 43–45</x:v>
      </x:c>
      <x:c r="M17" s="57" t="str">
        <x:v>observed_EIU</x:v>
      </x:c>
      <x:c r="N17" s="57" t="str">
        <x:v>observed_EIU</x:v>
      </x:c>
      <x:c r="O17" s="57" t="str">
        <x:v>observed_EIU</x:v>
      </x:c>
    </x:row>
    <x:row r="18" ht="15" hidden="0" customHeight="1">
      <x:c r="A18" s="59" t="n">
        <x:v>2022</x:v>
      </x:c>
      <x:c r="B18" s="58" t="str">
        <x:v>Gobierno</x:v>
      </x:c>
      <x:c r="C18" s="58" t="str">
        <x:v>Functioning of government</x:v>
      </x:c>
      <x:c r="D18" s="59" t="n">
        <x:v>5.71</x:v>
      </x:c>
      <x:c r="E18" s="59" t="n">
        <x:v>5.07</x:v>
      </x:c>
      <x:c r="F18" s="59" t="n">
        <x:v>4.7</x:v>
      </x:c>
      <x:c r="G18" s="59" t="n">
        <x:v>0.64</x:v>
      </x:c>
      <x:c r="H18" s="59" t="n">
        <x:v>1.01</x:v>
      </x:c>
      <x:c r="I18" s="59" t="n">
        <x:v>0.37</x:v>
      </x:c>
      <x:c r="J18" s="58" t="str">
        <x:v>EIU, Democracy Index 2022, Table 8, pp. 43–44</x:v>
      </x:c>
      <x:c r="K18" s="58" t="str">
        <x:v>EIU, Democracy Index 2022, category chart, pp. 43–45</x:v>
      </x:c>
      <x:c r="L18" s="58" t="str">
        <x:v>EIU, Democracy Index 2022, overview + chart, pp. 3–7, 43–45</x:v>
      </x:c>
      <x:c r="M18" s="58" t="str">
        <x:v>observed_EIU</x:v>
      </x:c>
      <x:c r="N18" s="58" t="str">
        <x:v>observed_EIU</x:v>
      </x:c>
      <x:c r="O18" s="58" t="str">
        <x:v>observed_EIU</x:v>
      </x:c>
    </x:row>
    <x:row r="19" ht="15" hidden="0" customHeight="1">
      <x:c r="A19" s="60" t="n">
        <x:v>2022</x:v>
      </x:c>
      <x:c r="B19" s="57" t="str">
        <x:v>Cultura política</x:v>
      </x:c>
      <x:c r="C19" s="57" t="str">
        <x:v>Political culture</x:v>
      </x:c>
      <x:c r="D19" s="60" t="n">
        <x:v>3.13</x:v>
      </x:c>
      <x:c r="E19" s="60" t="n">
        <x:v>4.11</x:v>
      </x:c>
      <x:c r="F19" s="60" t="n">
        <x:v>5.32</x:v>
      </x:c>
      <x:c r="G19" s="60" t="n">
        <x:v>-0.98</x:v>
      </x:c>
      <x:c r="H19" s="60" t="n">
        <x:v>-2.19</x:v>
      </x:c>
      <x:c r="I19" s="60" t="n">
        <x:v>-1.21</x:v>
      </x:c>
      <x:c r="J19" s="57" t="str">
        <x:v>EIU, Democracy Index 2022, Table 8, pp. 43–44</x:v>
      </x:c>
      <x:c r="K19" s="57" t="str">
        <x:v>EIU, Democracy Index 2022, category chart, pp. 43–45</x:v>
      </x:c>
      <x:c r="L19" s="57" t="str">
        <x:v>EIU, Democracy Index 2022, overview + chart, pp. 3–7, 43–45</x:v>
      </x:c>
      <x:c r="M19" s="57" t="str">
        <x:v>observed_EIU</x:v>
      </x:c>
      <x:c r="N19" s="57" t="str">
        <x:v>observed_EIU</x:v>
      </x:c>
      <x:c r="O19" s="57" t="str">
        <x:v>observed_EIU</x:v>
      </x:c>
    </x:row>
    <x:row r="20" ht="15" hidden="0" customHeight="1">
      <x:c r="A20" s="59" t="n">
        <x:v>2022</x:v>
      </x:c>
      <x:c r="B20" s="58" t="str">
        <x:v>Participación</x:v>
      </x:c>
      <x:c r="C20" s="58" t="str">
        <x:v>Political participation</x:v>
      </x:c>
      <x:c r="D20" s="59" t="n">
        <x:v>5.56</x:v>
      </x:c>
      <x:c r="E20" s="59" t="n">
        <x:v>5.97</x:v>
      </x:c>
      <x:c r="F20" s="59" t="n">
        <x:v>5.44</x:v>
      </x:c>
      <x:c r="G20" s="59" t="n">
        <x:v>-0.41</x:v>
      </x:c>
      <x:c r="H20" s="59" t="n">
        <x:v>0.12</x:v>
      </x:c>
      <x:c r="I20" s="59" t="n">
        <x:v>0.53</x:v>
      </x:c>
      <x:c r="J20" s="58" t="str">
        <x:v>EIU, Democracy Index 2022, Table 8, pp. 43–44</x:v>
      </x:c>
      <x:c r="K20" s="58" t="str">
        <x:v>EIU, Democracy Index 2022, category chart, pp. 43–45</x:v>
      </x:c>
      <x:c r="L20" s="58" t="str">
        <x:v>EIU, Democracy Index 2022, overview + chart, pp. 3–7, 43–45</x:v>
      </x:c>
      <x:c r="M20" s="58" t="str">
        <x:v>observed_EIU</x:v>
      </x:c>
      <x:c r="N20" s="58" t="str">
        <x:v>observed_EIU</x:v>
      </x:c>
      <x:c r="O20" s="58" t="str">
        <x:v>observed_EIU</x:v>
      </x:c>
    </x:row>
    <x:row r="21" ht="15" hidden="0" customHeight="1">
      <x:c r="A21" s="60" t="n">
        <x:v>2023</x:v>
      </x:c>
      <x:c r="B21" s="57" t="str">
        <x:v>Libertades civiles</x:v>
      </x:c>
      <x:c r="C21" s="57" t="str">
        <x:v>Civil liberties</x:v>
      </x:c>
      <x:c r="D21" s="60" t="n">
        <x:v>6.47</x:v>
      </x:c>
      <x:c r="E21" s="60" t="n">
        <x:v>6.54</x:v>
      </x:c>
      <x:c r="F21" s="60" t="n">
        <x:v>5.39</x:v>
      </x:c>
      <x:c r="G21" s="60" t="n">
        <x:v>-0.07</x:v>
      </x:c>
      <x:c r="H21" s="60" t="n">
        <x:v>1.08</x:v>
      </x:c>
      <x:c r="I21" s="60" t="n">
        <x:v>1.15</x:v>
      </x:c>
      <x:c r="J21" s="57" t="str">
        <x:v>EIU, Democracy Index 2023, Table 2, p. 13</x:v>
      </x:c>
      <x:c r="K21" s="57" t="str">
        <x:v>EIU, Democracy Index 2023, category chart, pp. 45–46</x:v>
      </x:c>
      <x:c r="L21" s="57" t="str">
        <x:v>EIU, Democracy Index 2023, overview + chart, pp. 3–5, 45–46</x:v>
      </x:c>
      <x:c r="M21" s="57" t="str">
        <x:v>observed_EIU</x:v>
      </x:c>
      <x:c r="N21" s="57" t="str">
        <x:v>observed_EIU</x:v>
      </x:c>
      <x:c r="O21" s="57" t="str">
        <x:v>observed_EIU</x:v>
      </x:c>
    </x:row>
    <x:row r="22" ht="15" hidden="0" customHeight="1">
      <x:c r="A22" s="59" t="n">
        <x:v>2023</x:v>
      </x:c>
      <x:c r="B22" s="58" t="str">
        <x:v>Proceso electoral</x:v>
      </x:c>
      <x:c r="C22" s="58" t="str">
        <x:v>Electoral process and pluralism</x:v>
      </x:c>
      <x:c r="D22" s="59" t="n">
        <x:v>8.75</x:v>
      </x:c>
      <x:c r="E22" s="59" t="n">
        <x:v>7.07</x:v>
      </x:c>
      <x:c r="F22" s="59" t="n">
        <x:v>5.49</x:v>
      </x:c>
      <x:c r="G22" s="59" t="n">
        <x:v>1.68</x:v>
      </x:c>
      <x:c r="H22" s="59" t="n">
        <x:v>3.26</x:v>
      </x:c>
      <x:c r="I22" s="59" t="n">
        <x:v>1.58</x:v>
      </x:c>
      <x:c r="J22" s="58" t="str">
        <x:v>EIU, Democracy Index 2023, Table 2, p. 13</x:v>
      </x:c>
      <x:c r="K22" s="58" t="str">
        <x:v>EIU, Democracy Index 2023, category chart, pp. 45–46</x:v>
      </x:c>
      <x:c r="L22" s="58" t="str">
        <x:v>EIU, Democracy Index 2023, overview + chart, pp. 3–5, 45–46</x:v>
      </x:c>
      <x:c r="M22" s="58" t="str">
        <x:v>observed_EIU</x:v>
      </x:c>
      <x:c r="N22" s="58" t="str">
        <x:v>observed_EIU</x:v>
      </x:c>
      <x:c r="O22" s="58" t="str">
        <x:v>observed_EIU</x:v>
      </x:c>
    </x:row>
    <x:row r="23" ht="15" hidden="0" customHeight="1">
      <x:c r="A23" s="60" t="n">
        <x:v>2023</x:v>
      </x:c>
      <x:c r="B23" s="57" t="str">
        <x:v>Gobierno</x:v>
      </x:c>
      <x:c r="C23" s="57" t="str">
        <x:v>Functioning of government</x:v>
      </x:c>
      <x:c r="D23" s="60" t="n">
        <x:v>5.71</x:v>
      </x:c>
      <x:c r="E23" s="60" t="n">
        <x:v>5.04</x:v>
      </x:c>
      <x:c r="F23" s="60" t="n">
        <x:v>4.66</x:v>
      </x:c>
      <x:c r="G23" s="60" t="n">
        <x:v>0.67</x:v>
      </x:c>
      <x:c r="H23" s="60" t="n">
        <x:v>1.05</x:v>
      </x:c>
      <x:c r="I23" s="60" t="n">
        <x:v>0.38</x:v>
      </x:c>
      <x:c r="J23" s="57" t="str">
        <x:v>EIU, Democracy Index 2023, Table 2, p. 13</x:v>
      </x:c>
      <x:c r="K23" s="57" t="str">
        <x:v>EIU, Democracy Index 2023, category chart, pp. 45–46</x:v>
      </x:c>
      <x:c r="L23" s="57" t="str">
        <x:v>EIU, Democracy Index 2023, overview + chart, pp. 3–5, 45–46</x:v>
      </x:c>
      <x:c r="M23" s="57" t="str">
        <x:v>observed_EIU</x:v>
      </x:c>
      <x:c r="N23" s="57" t="str">
        <x:v>observed_EIU</x:v>
      </x:c>
      <x:c r="O23" s="57" t="str">
        <x:v>observed_EIU</x:v>
      </x:c>
    </x:row>
    <x:row r="24" ht="15" hidden="0" customHeight="1">
      <x:c r="A24" s="59" t="n">
        <x:v>2023</x:v>
      </x:c>
      <x:c r="B24" s="58" t="str">
        <x:v>Cultura política</x:v>
      </x:c>
      <x:c r="C24" s="58" t="str">
        <x:v>Political culture</x:v>
      </x:c>
      <x:c r="D24" s="59" t="n">
        <x:v>3.13</x:v>
      </x:c>
      <x:c r="E24" s="59" t="n">
        <x:v>4.01</x:v>
      </x:c>
      <x:c r="F24" s="59" t="n">
        <x:v>5.24</x:v>
      </x:c>
      <x:c r="G24" s="59" t="n">
        <x:v>-0.88</x:v>
      </x:c>
      <x:c r="H24" s="59" t="n">
        <x:v>-2.11</x:v>
      </x:c>
      <x:c r="I24" s="59" t="n">
        <x:v>-1.23</x:v>
      </x:c>
      <x:c r="J24" s="58" t="str">
        <x:v>EIU, Democracy Index 2023, Table 2, p. 13</x:v>
      </x:c>
      <x:c r="K24" s="58" t="str">
        <x:v>EIU, Democracy Index 2023, category chart, pp. 45–46</x:v>
      </x:c>
      <x:c r="L24" s="58" t="str">
        <x:v>EIU, Democracy Index 2023, overview + chart, pp. 3–5, 45–46</x:v>
      </x:c>
      <x:c r="M24" s="58" t="str">
        <x:v>observed_EIU</x:v>
      </x:c>
      <x:c r="N24" s="58" t="str">
        <x:v>observed_EIU</x:v>
      </x:c>
      <x:c r="O24" s="58" t="str">
        <x:v>observed_EIU</x:v>
      </x:c>
    </x:row>
    <x:row r="25" ht="15" hidden="0" customHeight="1">
      <x:c r="A25" s="60" t="n">
        <x:v>2023</x:v>
      </x:c>
      <x:c r="B25" s="57" t="str">
        <x:v>Participación</x:v>
      </x:c>
      <x:c r="C25" s="57" t="str">
        <x:v>Political participation</x:v>
      </x:c>
      <x:c r="D25" s="60" t="n">
        <x:v>5</x:v>
      </x:c>
      <x:c r="E25" s="60" t="n">
        <x:v>5.72</x:v>
      </x:c>
      <x:c r="F25" s="60" t="n">
        <x:v>5.34</x:v>
      </x:c>
      <x:c r="G25" s="60" t="n">
        <x:v>-0.72</x:v>
      </x:c>
      <x:c r="H25" s="60" t="n">
        <x:v>-0.34</x:v>
      </x:c>
      <x:c r="I25" s="60" t="n">
        <x:v>0.38</x:v>
      </x:c>
      <x:c r="J25" s="57" t="str">
        <x:v>EIU, Democracy Index 2023, Table 2, p. 13</x:v>
      </x:c>
      <x:c r="K25" s="57" t="str">
        <x:v>EIU, Democracy Index 2023, category chart, pp. 45–46</x:v>
      </x:c>
      <x:c r="L25" s="57" t="str">
        <x:v>EIU, Democracy Index 2023, overview + chart, pp. 3–5, 45–46</x:v>
      </x:c>
      <x:c r="M25" s="57" t="str">
        <x:v>observed_EIU</x:v>
      </x:c>
      <x:c r="N25" s="57" t="str">
        <x:v>observed_EIU</x:v>
      </x:c>
      <x:c r="O25" s="57" t="str">
        <x:v>observed_EIU</x:v>
      </x:c>
    </x:row>
    <x:row r="26" ht="15" hidden="0" customHeight="1">
      <x:c r="A26" s="59" t="n">
        <x:v>2024</x:v>
      </x:c>
      <x:c r="B26" s="58" t="str">
        <x:v>Libertades civiles</x:v>
      </x:c>
      <x:c r="C26" s="58" t="str">
        <x:v>Civil liberties</x:v>
      </x:c>
      <x:c r="D26" s="59" t="n">
        <x:v>6.47</x:v>
      </x:c>
      <x:c r="E26" s="59" t="n">
        <x:v>6.43</x:v>
      </x:c>
      <x:c r="F26" s="59" t="n">
        <x:v>5.35</x:v>
      </x:c>
      <x:c r="G26" s="59" t="n">
        <x:v>0.04</x:v>
      </x:c>
      <x:c r="H26" s="59" t="n">
        <x:v>1.12</x:v>
      </x:c>
      <x:c r="I26" s="59" t="n">
        <x:v>1.08</x:v>
      </x:c>
      <x:c r="J26" s="58" t="str">
        <x:v>EIU, Democracy Index 2024, Table 2, p. 18 / Table 6, p. 54</x:v>
      </x:c>
      <x:c r="K26" s="58" t="str">
        <x:v>EIU, Democracy Index 2024, Table 6, pp. 53–54</x:v>
      </x:c>
      <x:c r="L26" s="58" t="str">
        <x:v>EIU, Democracy Index 2024, overview + category chart, pp. 6–12, 43</x:v>
      </x:c>
      <x:c r="M26" s="58" t="str">
        <x:v>observed_EIU</x:v>
      </x:c>
      <x:c r="N26" s="58" t="str">
        <x:v>observed_EIU</x:v>
      </x:c>
      <x:c r="O26" s="58" t="str">
        <x:v>observed_EIU</x:v>
      </x:c>
    </x:row>
    <x:row r="27" ht="15" hidden="0" customHeight="1">
      <x:c r="A27" s="60" t="n">
        <x:v>2024</x:v>
      </x:c>
      <x:c r="B27" s="57" t="str">
        <x:v>Proceso electoral</x:v>
      </x:c>
      <x:c r="C27" s="57" t="str">
        <x:v>Electoral process and pluralism</x:v>
      </x:c>
      <x:c r="D27" s="60" t="n">
        <x:v>8.75</x:v>
      </x:c>
      <x:c r="E27" s="60" t="n">
        <x:v>7.03</x:v>
      </x:c>
      <x:c r="F27" s="60" t="n">
        <x:v>5.41</x:v>
      </x:c>
      <x:c r="G27" s="60" t="n">
        <x:v>1.72</x:v>
      </x:c>
      <x:c r="H27" s="60" t="n">
        <x:v>3.34</x:v>
      </x:c>
      <x:c r="I27" s="60" t="n">
        <x:v>1.62</x:v>
      </x:c>
      <x:c r="J27" s="57" t="str">
        <x:v>EIU, Democracy Index 2024, Table 2, p. 18 / Table 6, p. 54</x:v>
      </x:c>
      <x:c r="K27" s="57" t="str">
        <x:v>EIU, Democracy Index 2024, Table 6, pp. 53–54</x:v>
      </x:c>
      <x:c r="L27" s="57" t="str">
        <x:v>EIU, Democracy Index 2024, overview + category chart, pp. 6–12, 43</x:v>
      </x:c>
      <x:c r="M27" s="57" t="str">
        <x:v>observed_EIU</x:v>
      </x:c>
      <x:c r="N27" s="57" t="str">
        <x:v>observed_EIU</x:v>
      </x:c>
      <x:c r="O27" s="57" t="str">
        <x:v>observed_EIU</x:v>
      </x:c>
    </x:row>
    <x:row r="28" ht="15" hidden="0" customHeight="1">
      <x:c r="A28" s="59" t="n">
        <x:v>2024</x:v>
      </x:c>
      <x:c r="B28" s="58" t="str">
        <x:v>Gobierno</x:v>
      </x:c>
      <x:c r="C28" s="58" t="str">
        <x:v>Functioning of government</x:v>
      </x:c>
      <x:c r="D28" s="59" t="n">
        <x:v>5.71</x:v>
      </x:c>
      <x:c r="E28" s="59" t="n">
        <x:v>4.92</x:v>
      </x:c>
      <x:c r="F28" s="59" t="n">
        <x:v>4.53</x:v>
      </x:c>
      <x:c r="G28" s="59" t="n">
        <x:v>0.79</x:v>
      </x:c>
      <x:c r="H28" s="59" t="n">
        <x:v>1.18</x:v>
      </x:c>
      <x:c r="I28" s="59" t="n">
        <x:v>0.39</x:v>
      </x:c>
      <x:c r="J28" s="58" t="str">
        <x:v>EIU, Democracy Index 2024, Table 2, p. 18 / Table 6, p. 54</x:v>
      </x:c>
      <x:c r="K28" s="58" t="str">
        <x:v>EIU, Democracy Index 2024, Table 6, pp. 53–54</x:v>
      </x:c>
      <x:c r="L28" s="58" t="str">
        <x:v>EIU, Democracy Index 2024, overview + category chart, pp. 6–12, 43</x:v>
      </x:c>
      <x:c r="M28" s="58" t="str">
        <x:v>observed_EIU</x:v>
      </x:c>
      <x:c r="N28" s="58" t="str">
        <x:v>observed_EIU</x:v>
      </x:c>
      <x:c r="O28" s="58" t="str">
        <x:v>observed_EIU</x:v>
      </x:c>
    </x:row>
    <x:row r="29" ht="15" hidden="0" customHeight="1">
      <x:c r="A29" s="60" t="n">
        <x:v>2024</x:v>
      </x:c>
      <x:c r="B29" s="57" t="str">
        <x:v>Cultura política</x:v>
      </x:c>
      <x:c r="C29" s="57" t="str">
        <x:v>Political culture</x:v>
      </x:c>
      <x:c r="D29" s="60" t="n">
        <x:v>2.5</x:v>
      </x:c>
      <x:c r="E29" s="60" t="n">
        <x:v>3.91</x:v>
      </x:c>
      <x:c r="F29" s="60" t="n">
        <x:v>5.25</x:v>
      </x:c>
      <x:c r="G29" s="60" t="n">
        <x:v>-1.41</x:v>
      </x:c>
      <x:c r="H29" s="60" t="n">
        <x:v>-2.75</x:v>
      </x:c>
      <x:c r="I29" s="60" t="n">
        <x:v>-1.34</x:v>
      </x:c>
      <x:c r="J29" s="57" t="str">
        <x:v>EIU, Democracy Index 2024, Table 2, p. 18 / Table 6, p. 54</x:v>
      </x:c>
      <x:c r="K29" s="57" t="str">
        <x:v>EIU, Democracy Index 2024, Table 6, pp. 53–54</x:v>
      </x:c>
      <x:c r="L29" s="57" t="str">
        <x:v>EIU, Democracy Index 2024, overview + category chart, pp. 6–12, 43</x:v>
      </x:c>
      <x:c r="M29" s="57" t="str">
        <x:v>observed_EIU</x:v>
      </x:c>
      <x:c r="N29" s="57" t="str">
        <x:v>observed_EIU</x:v>
      </x:c>
      <x:c r="O29" s="57" t="str">
        <x:v>observed_EIU</x:v>
      </x:c>
    </x:row>
    <x:row r="30" ht="15" hidden="0" customHeight="1">
      <x:c r="A30" s="59" t="n">
        <x:v>2024</x:v>
      </x:c>
      <x:c r="B30" s="58" t="str">
        <x:v>Participación</x:v>
      </x:c>
      <x:c r="C30" s="58" t="str">
        <x:v>Political participation</x:v>
      </x:c>
      <x:c r="D30" s="59" t="n">
        <x:v>5</x:v>
      </x:c>
      <x:c r="E30" s="59" t="n">
        <x:v>5.74</x:v>
      </x:c>
      <x:c r="F30" s="59" t="n">
        <x:v>5.33</x:v>
      </x:c>
      <x:c r="G30" s="59" t="n">
        <x:v>-0.74</x:v>
      </x:c>
      <x:c r="H30" s="59" t="n">
        <x:v>-0.33</x:v>
      </x:c>
      <x:c r="I30" s="59" t="n">
        <x:v>0.41</x:v>
      </x:c>
      <x:c r="J30" s="58" t="str">
        <x:v>EIU, Democracy Index 2024, Table 2, p. 18 / Table 6, p. 54</x:v>
      </x:c>
      <x:c r="K30" s="58" t="str">
        <x:v>EIU, Democracy Index 2024, Table 6, pp. 53–54</x:v>
      </x:c>
      <x:c r="L30" s="58" t="str">
        <x:v>EIU, Democracy Index 2024, overview + category chart, pp. 6–12, 43</x:v>
      </x:c>
      <x:c r="M30" s="58" t="str">
        <x:v>observed_EIU</x:v>
      </x:c>
      <x:c r="N30" s="58" t="str">
        <x:v>observed_EIU</x:v>
      </x:c>
      <x:c r="O30" s="58" t="str">
        <x:v>observed_EIU</x:v>
      </x:c>
    </x:row>
    <x:row r="31" ht="15" hidden="0" customHeight="1">
      <x:c r="A31" s="60" t="n">
        <x:v>2025</x:v>
      </x:c>
      <x:c r="B31" s="57" t="str">
        <x:v>Libertades civiles</x:v>
      </x:c>
      <x:c r="C31" s="57" t="str">
        <x:v>Civil liberties</x:v>
      </x:c>
      <x:c r="D31" s="60" t="n">
        <x:v>6.42</x:v>
      </x:c>
      <x:c r="E31" s="60" t="n">
        <x:v>6.3</x:v>
      </x:c>
      <x:c r="F31" s="60" t="n">
        <x:v>5.32</x:v>
      </x:c>
      <x:c r="G31" s="60" t="n">
        <x:v>0.12</x:v>
      </x:c>
      <x:c r="H31" s="60" t="n">
        <x:v>1.1</x:v>
      </x:c>
      <x:c r="I31" s="60" t="n">
        <x:v>0.98</x:v>
      </x:c>
      <x:c r="J31" s="57" t="str">
        <x:v>Central value of a modeled latent anchor ensemble constrained to Peru overall=5.88; NOT an EIU-published Peru sub-pillar value.</x:v>
      </x:c>
      <x:c r="K31" s="57" t="str">
        <x:v>EIU Democracy Index 2025, Figure 14, p. 24.</x:v>
      </x:c>
      <x:c r="L31" s="57" t="str">
        <x:v>EIU Democracy Index 2025, Figure 14, p. 24.</x:v>
      </x:c>
      <x:c r="M31" s="57" t="str">
        <x:v>modeled_latent_central</x:v>
      </x:c>
      <x:c r="N31" s="57" t="str">
        <x:v>official_source_observed</x:v>
      </x:c>
      <x:c r="O31" s="57" t="str">
        <x:v>official_source_observed</x:v>
      </x:c>
    </x:row>
    <x:row r="32" ht="15" hidden="0" customHeight="1">
      <x:c r="A32" s="59" t="n">
        <x:v>2025</x:v>
      </x:c>
      <x:c r="B32" s="58" t="str">
        <x:v>Proceso electoral y pluralismo</x:v>
      </x:c>
      <x:c r="C32" s="58" t="str">
        <x:v>Electoral process and pluralism</x:v>
      </x:c>
      <x:c r="D32" s="59" t="n">
        <x:v>8.88</x:v>
      </x:c>
      <x:c r="E32" s="59" t="n">
        <x:v>7.14</x:v>
      </x:c>
      <x:c r="F32" s="59" t="n">
        <x:v>5.38</x:v>
      </x:c>
      <x:c r="G32" s="59" t="n">
        <x:v>1.74</x:v>
      </x:c>
      <x:c r="H32" s="59" t="n">
        <x:v>3.5</x:v>
      </x:c>
      <x:c r="I32" s="59" t="n">
        <x:v>1.76</x:v>
      </x:c>
      <x:c r="J32" s="58" t="str">
        <x:v>Central value of a modeled latent anchor ensemble constrained to Peru overall=5.88; NOT an EIU-published Peru sub-pillar value.</x:v>
      </x:c>
      <x:c r="K32" s="58" t="str">
        <x:v>EIU Democracy Index 2025, Figure 14, p. 24.</x:v>
      </x:c>
      <x:c r="L32" s="58" t="str">
        <x:v>EIU Democracy Index 2025, Figure 14, p. 24.</x:v>
      </x:c>
      <x:c r="M32" s="58" t="str">
        <x:v>modeled_latent_central</x:v>
      </x:c>
      <x:c r="N32" s="58" t="str">
        <x:v>official_source_observed</x:v>
      </x:c>
      <x:c r="O32" s="58" t="str">
        <x:v>official_source_observed</x:v>
      </x:c>
    </x:row>
    <x:row r="33" ht="15" hidden="0" customHeight="1">
      <x:c r="A33" s="60" t="n">
        <x:v>2025</x:v>
      </x:c>
      <x:c r="B33" s="57" t="str">
        <x:v>Funcionamiento del gobierno</x:v>
      </x:c>
      <x:c r="C33" s="57" t="str">
        <x:v>Functioning of government</x:v>
      </x:c>
      <x:c r="D33" s="60" t="n">
        <x:v>6.03</x:v>
      </x:c>
      <x:c r="E33" s="60" t="n">
        <x:v>5.13</x:v>
      </x:c>
      <x:c r="F33" s="60" t="n">
        <x:v>4.6</x:v>
      </x:c>
      <x:c r="G33" s="60" t="n">
        <x:v>0.9</x:v>
      </x:c>
      <x:c r="H33" s="60" t="n">
        <x:v>1.43</x:v>
      </x:c>
      <x:c r="I33" s="60" t="n">
        <x:v>0.53</x:v>
      </x:c>
      <x:c r="J33" s="57" t="str">
        <x:v>Central value of a modeled latent anchor ensemble constrained to Peru overall=5.88; NOT an EIU-published Peru sub-pillar value.</x:v>
      </x:c>
      <x:c r="K33" s="57" t="str">
        <x:v>EIU Democracy Index 2025, Figure 14, p. 24.</x:v>
      </x:c>
      <x:c r="L33" s="57" t="str">
        <x:v>EIU Democracy Index 2025, Figure 14, p. 24.</x:v>
      </x:c>
      <x:c r="M33" s="57" t="str">
        <x:v>modeled_latent_central</x:v>
      </x:c>
      <x:c r="N33" s="57" t="str">
        <x:v>official_source_observed</x:v>
      </x:c>
      <x:c r="O33" s="57" t="str">
        <x:v>official_source_observed</x:v>
      </x:c>
    </x:row>
    <x:row r="34" ht="15" hidden="0" customHeight="1">
      <x:c r="A34" s="59" t="n">
        <x:v>2025</x:v>
      </x:c>
      <x:c r="B34" s="58" t="str">
        <x:v>Cultura política</x:v>
      </x:c>
      <x:c r="C34" s="58" t="str">
        <x:v>Political culture</x:v>
      </x:c>
      <x:c r="D34" s="59" t="n">
        <x:v>3</x:v>
      </x:c>
      <x:c r="E34" s="59" t="n">
        <x:v>4.3</x:v>
      </x:c>
      <x:c r="F34" s="59" t="n">
        <x:v>5.32</x:v>
      </x:c>
      <x:c r="G34" s="59" t="n">
        <x:v>-1.3</x:v>
      </x:c>
      <x:c r="H34" s="59" t="n">
        <x:v>-2.32</x:v>
      </x:c>
      <x:c r="I34" s="59" t="n">
        <x:v>-1.02</x:v>
      </x:c>
      <x:c r="J34" s="58" t="str">
        <x:v>Central value of a modeled latent anchor ensemble constrained to Peru overall=5.88; NOT an EIU-published Peru sub-pillar value.</x:v>
      </x:c>
      <x:c r="K34" s="58" t="str">
        <x:v>EIU Democracy Index 2025, Figure 14, p. 24.</x:v>
      </x:c>
      <x:c r="L34" s="58" t="str">
        <x:v>EIU Democracy Index 2025, Figure 14, p. 24.</x:v>
      </x:c>
      <x:c r="M34" s="58" t="str">
        <x:v>modeled_latent_central</x:v>
      </x:c>
      <x:c r="N34" s="58" t="str">
        <x:v>official_source_observed</x:v>
      </x:c>
      <x:c r="O34" s="58" t="str">
        <x:v>official_source_observed</x:v>
      </x:c>
    </x:row>
    <x:row r="35" ht="15" hidden="0" customHeight="1">
      <x:c r="A35" s="60" t="n">
        <x:v>2025</x:v>
      </x:c>
      <x:c r="B35" s="57" t="str">
        <x:v>Participación política</x:v>
      </x:c>
      <x:c r="C35" s="57" t="str">
        <x:v>Political participation</x:v>
      </x:c>
      <x:c r="D35" s="60" t="n">
        <x:v>5.07</x:v>
      </x:c>
      <x:c r="E35" s="60" t="n">
        <x:v>5.69</x:v>
      </x:c>
      <x:c r="F35" s="60" t="n">
        <x:v>5.33</x:v>
      </x:c>
      <x:c r="G35" s="60" t="n">
        <x:v>-0.62</x:v>
      </x:c>
      <x:c r="H35" s="60" t="n">
        <x:v>-0.26</x:v>
      </x:c>
      <x:c r="I35" s="60" t="n">
        <x:v>0.36</x:v>
      </x:c>
      <x:c r="J35" s="57" t="str">
        <x:v>Central value of a modeled latent anchor ensemble constrained to Peru overall=5.88; NOT an EIU-published Peru sub-pillar value.</x:v>
      </x:c>
      <x:c r="K35" s="57" t="str">
        <x:v>EIU Democracy Index 2025, Figure 14, p. 24.</x:v>
      </x:c>
      <x:c r="L35" s="57" t="str">
        <x:v>EIU Democracy Index 2025, Figure 14, p. 24.</x:v>
      </x:c>
      <x:c r="M35" s="57" t="str">
        <x:v>modeled_latent_central</x:v>
      </x:c>
      <x:c r="N35" s="57" t="str">
        <x:v>official_source_observed</x:v>
      </x:c>
      <x:c r="O35" s="57" t="str">
        <x:v>official_source_observed</x:v>
      </x:c>
    </x:row>
  </x:sheetData>
  <x:mergeCells>
    <x:mergeCell ref="A1:O1"/>
    <x:mergeCell ref="A2:O2"/>
  </x:mergeCells>
  <x:pageMargins left="0.7" right="0.7" top="0.75" bottom="0.75" header="0.3" footer="0.3"/>
  <x:tableParts count="1">
    <x:tablePart xmlns:r="http://schemas.openxmlformats.org/officeDocument/2006/relationships" r:id="R2449429d390d4ba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44" hidden="0" customWidth="1"/>
  </x:cols>
  <x:sheetData>
    <x:row r="1" ht="19.200000762939453" hidden="0" customHeight="1">
      <x:c r="A1" s="3" t="str">
        <x:v>Ancla dimensional latente 2025</x:v>
      </x:c>
      <x:c r="B1" s="3" t="str">
        <x:v>Ancla dimensional latente 2025</x:v>
      </x:c>
      <x:c r="C1" s="3" t="str">
        <x:v>Ancla dimensional latente 2025</x:v>
      </x:c>
      <x:c r="D1" s="3" t="str">
        <x:v>Ancla dimensional latente 2025</x:v>
      </x:c>
      <x:c r="E1" s="3" t="str">
        <x:v>Ancla dimensional latente 2025</x:v>
      </x:c>
      <x:c r="F1" s="3" t="str">
        <x:v>Ancla dimensional latente 2025</x:v>
      </x:c>
      <x:c r="G1" s="3" t="str">
        <x:v>Ancla dimensional latente 2025</x:v>
      </x:c>
      <x:c r="H1" s="3" t="str">
        <x:v>Ancla dimensional latente 2025</x:v>
      </x:c>
      <x:c r="I1" s="3" t="str">
        <x:v>Ancla dimensional latente 2025</x:v>
      </x:c>
      <x:c r="J1" s="3" t="str">
        <x:v>Ancla dimensional latente 2025</x:v>
      </x:c>
      <x:c r="K1" s="3" t="str">
        <x:v>Ancla dimensional latente 2025</x:v>
      </x:c>
      <x:c r="L1" s="3" t="str">
        <x:v>Ancla dimensional latente 2025</x:v>
      </x:c>
      <x:c r="M1" s="3" t="str">
        <x:v>Ancla dimensional latente 2025</x:v>
      </x:c>
    </x:row>
    <x:row r="2" ht="15" hidden="0" customHeight="1">
      <x:c r="A2" s="7" t="str">
        <x:v>Distribución de la composición dimensional condicionada a promedio exacto 5,88. p10–p90 describe incertidumbre de composición, no incertidumbre del agregado.</x:v>
      </x:c>
      <x:c r="B2" s="7" t="str">
        <x:v>Distribución de la composición dimensional condicionada a promedio exacto 5,88. p10–p90 describe incertidumbre de composición, no incertidumbre del agregado.</x:v>
      </x:c>
      <x:c r="C2" s="7" t="str">
        <x:v>Distribución de la composición dimensional condicionada a promedio exacto 5,88. p10–p90 describe incertidumbre de composición, no incertidumbre del agregado.</x:v>
      </x:c>
      <x:c r="D2" s="7" t="str">
        <x:v>Distribución de la composición dimensional condicionada a promedio exacto 5,88. p10–p90 describe incertidumbre de composición, no incertidumbre del agregado.</x:v>
      </x:c>
      <x:c r="E2" s="7" t="str">
        <x:v>Distribución de la composición dimensional condicionada a promedio exacto 5,88. p10–p90 describe incertidumbre de composición, no incertidumbre del agregado.</x:v>
      </x:c>
      <x:c r="F2" s="7" t="str">
        <x:v>Distribución de la composición dimensional condicionada a promedio exacto 5,88. p10–p90 describe incertidumbre de composición, no incertidumbre del agregado.</x:v>
      </x:c>
      <x:c r="G2" s="7" t="str">
        <x:v>Distribución de la composición dimensional condicionada a promedio exacto 5,88. p10–p90 describe incertidumbre de composición, no incertidumbre del agregado.</x:v>
      </x:c>
      <x:c r="H2" s="7" t="str">
        <x:v>Distribución de la composición dimensional condicionada a promedio exacto 5,88. p10–p90 describe incertidumbre de composición, no incertidumbre del agregado.</x:v>
      </x:c>
      <x:c r="I2" s="7" t="str">
        <x:v>Distribución de la composición dimensional condicionada a promedio exacto 5,88. p10–p90 describe incertidumbre de composición, no incertidumbre del agregado.</x:v>
      </x:c>
      <x:c r="J2" s="7" t="str">
        <x:v>Distribución de la composición dimensional condicionada a promedio exacto 5,88. p10–p90 describe incertidumbre de composición, no incertidumbre del agregado.</x:v>
      </x:c>
      <x:c r="K2" s="7" t="str">
        <x:v>Distribución de la composición dimensional condicionada a promedio exacto 5,88. p10–p90 describe incertidumbre de composición, no incertidumbre del agregado.</x:v>
      </x:c>
      <x:c r="L2" s="7" t="str">
        <x:v>Distribución de la composición dimensional condicionada a promedio exacto 5,88. p10–p90 describe incertidumbre de composición, no incertidumbre del agregado.</x:v>
      </x:c>
      <x:c r="M2" s="7" t="str">
        <x:v>Distribución de la composición dimensional condicionada a promedio exacto 5,88. p10–p90 describe incertidumbre de composición, no incertidumbre del agregado.</x:v>
      </x:c>
    </x:row>
    <x:row r="3" ht="15" hidden="0" customHeight="1">
      <x:c r="A3" s="8"/>
      <x:c r="B3" s="8"/>
      <x:c r="C3" s="8"/>
      <x:c r="D3" s="8"/>
      <x:c r="E3" s="8"/>
      <x:c r="F3" s="8"/>
      <x:c r="G3" s="8"/>
      <x:c r="H3" s="8"/>
      <x:c r="I3" s="8"/>
      <x:c r="J3" s="8"/>
      <x:c r="K3" s="8"/>
      <x:c r="L3" s="8"/>
      <x:c r="M3" s="8"/>
    </x:row>
    <x:row r="4"/>
    <x:row r="5" ht="15" hidden="0" customHeight="1">
      <x:c r="A5" s="14" t="str">
        <x:v>category_full</x:v>
      </x:c>
      <x:c r="B5" s="14" t="str">
        <x:v>category_es</x:v>
      </x:c>
      <x:c r="C5" s="14" t="str">
        <x:v>peru_2024_official_source_observed</x:v>
      </x:c>
      <x:c r="D5" s="14" t="str">
        <x:v>central_anchor_2025</x:v>
      </x:c>
      <x:c r="E5" s="14" t="str">
        <x:v>anchor_sigma</x:v>
      </x:c>
      <x:c r="F5" s="14" t="str">
        <x:v>admissible_low</x:v>
      </x:c>
      <x:c r="G5" s="14" t="str">
        <x:v>p10</x:v>
      </x:c>
      <x:c r="H5" s="14" t="str">
        <x:v>p50</x:v>
      </x:c>
      <x:c r="I5" s="14" t="str">
        <x:v>p90</x:v>
      </x:c>
      <x:c r="J5" s="14" t="str">
        <x:v>admissible_high</x:v>
      </x:c>
      <x:c r="K5" s="14" t="str">
        <x:v>overall_constraint</x:v>
      </x:c>
      <x:c r="L5" s="14" t="str">
        <x:v>data_status</x:v>
      </x:c>
      <x:c r="M5" s="14" t="str">
        <x:v>interpretation</x:v>
      </x:c>
    </x:row>
    <x:row r="6" ht="15" hidden="0" customHeight="1">
      <x:c r="A6" s="58" t="str">
        <x:v>Electoral process and pluralism</x:v>
      </x:c>
      <x:c r="B6" s="58" t="str">
        <x:v>Proceso electoral y pluralismo</x:v>
      </x:c>
      <x:c r="C6" s="59" t="n">
        <x:v>8.75</x:v>
      </x:c>
      <x:c r="D6" s="59" t="n">
        <x:v>8.88</x:v>
      </x:c>
      <x:c r="E6" s="59" t="n">
        <x:v>0.08</x:v>
      </x:c>
      <x:c r="F6" s="59" t="n">
        <x:v>8.72</x:v>
      </x:c>
      <x:c r="G6" s="59" t="n">
        <x:v>8.772</x:v>
      </x:c>
      <x:c r="H6" s="59" t="n">
        <x:v>8.8794</x:v>
      </x:c>
      <x:c r="I6" s="59" t="n">
        <x:v>8.9874</x:v>
      </x:c>
      <x:c r="J6" s="59" t="n">
        <x:v>9.04</x:v>
      </x:c>
      <x:c r="K6" s="59" t="n">
        <x:v>5.88</x:v>
      </x:c>
      <x:c r="L6" s="58" t="str">
        <x:v>modeled_latent_ensemble</x:v>
      </x:c>
      <x:c r="M6" s="58" t="str">
        <x:v>Uncertainty in dimensional composition; not an official EIU Peru sub-score.</x:v>
      </x:c>
    </x:row>
    <x:row r="7" ht="15" hidden="0" customHeight="1">
      <x:c r="A7" s="57" t="str">
        <x:v>Functioning of government</x:v>
      </x:c>
      <x:c r="B7" s="57" t="str">
        <x:v>Funcionamiento del gobierno</x:v>
      </x:c>
      <x:c r="C7" s="60" t="n">
        <x:v>5.71</x:v>
      </x:c>
      <x:c r="D7" s="60" t="n">
        <x:v>6.03</x:v>
      </x:c>
      <x:c r="E7" s="60" t="n">
        <x:v>0.0875</x:v>
      </x:c>
      <x:c r="F7" s="60" t="n">
        <x:v>5.855</x:v>
      </x:c>
      <x:c r="G7" s="60" t="n">
        <x:v>5.9135</x:v>
      </x:c>
      <x:c r="H7" s="60" t="n">
        <x:v>6.0301</x:v>
      </x:c>
      <x:c r="I7" s="60" t="n">
        <x:v>6.1432</x:v>
      </x:c>
      <x:c r="J7" s="60" t="n">
        <x:v>6.205</x:v>
      </x:c>
      <x:c r="K7" s="60" t="n">
        <x:v>5.88</x:v>
      </x:c>
      <x:c r="L7" s="57" t="str">
        <x:v>modeled_latent_ensemble</x:v>
      </x:c>
      <x:c r="M7" s="57" t="str">
        <x:v>Uncertainty in dimensional composition; not an official EIU Peru sub-score.</x:v>
      </x:c>
    </x:row>
    <x:row r="8" ht="15" hidden="0" customHeight="1">
      <x:c r="A8" s="58" t="str">
        <x:v>Political participation</x:v>
      </x:c>
      <x:c r="B8" s="58" t="str">
        <x:v>Participación política</x:v>
      </x:c>
      <x:c r="C8" s="59" t="n">
        <x:v>5</x:v>
      </x:c>
      <x:c r="D8" s="59" t="n">
        <x:v>5.07</x:v>
      </x:c>
      <x:c r="E8" s="59" t="n">
        <x:v>0.14</x:v>
      </x:c>
      <x:c r="F8" s="59" t="n">
        <x:v>4.79</x:v>
      </x:c>
      <x:c r="G8" s="59" t="n">
        <x:v>4.9057</x:v>
      </x:c>
      <x:c r="H8" s="59" t="n">
        <x:v>5.0703</x:v>
      </x:c>
      <x:c r="I8" s="59" t="n">
        <x:v>5.2371</x:v>
      </x:c>
      <x:c r="J8" s="59" t="n">
        <x:v>5.35</x:v>
      </x:c>
      <x:c r="K8" s="59" t="n">
        <x:v>5.88</x:v>
      </x:c>
      <x:c r="L8" s="58" t="str">
        <x:v>modeled_latent_ensemble</x:v>
      </x:c>
      <x:c r="M8" s="58" t="str">
        <x:v>Uncertainty in dimensional composition; not an official EIU Peru sub-score.</x:v>
      </x:c>
    </x:row>
    <x:row r="9" ht="15" hidden="0" customHeight="1">
      <x:c r="A9" s="57" t="str">
        <x:v>Political culture</x:v>
      </x:c>
      <x:c r="B9" s="57" t="str">
        <x:v>Cultura política</x:v>
      </x:c>
      <x:c r="C9" s="60" t="n">
        <x:v>2.5</x:v>
      </x:c>
      <x:c r="D9" s="60" t="n">
        <x:v>3</x:v>
      </x:c>
      <x:c r="E9" s="60" t="n">
        <x:v>0.3944</x:v>
      </x:c>
      <x:c r="F9" s="60" t="n">
        <x:v>2.2112</x:v>
      </x:c>
      <x:c r="G9" s="60" t="n">
        <x:v>2.692</x:v>
      </x:c>
      <x:c r="H9" s="60" t="n">
        <x:v>2.9988</x:v>
      </x:c>
      <x:c r="I9" s="60" t="n">
        <x:v>3.3075</x:v>
      </x:c>
      <x:c r="J9" s="60" t="n">
        <x:v>3.7888</x:v>
      </x:c>
      <x:c r="K9" s="60" t="n">
        <x:v>5.88</x:v>
      </x:c>
      <x:c r="L9" s="57" t="str">
        <x:v>modeled_latent_ensemble</x:v>
      </x:c>
      <x:c r="M9" s="57" t="str">
        <x:v>Uncertainty in dimensional composition; not an official EIU Peru sub-score.</x:v>
      </x:c>
    </x:row>
    <x:row r="10" ht="15" hidden="0" customHeight="1">
      <x:c r="A10" s="58" t="str">
        <x:v>Civil liberties</x:v>
      </x:c>
      <x:c r="B10" s="58" t="str">
        <x:v>Libertades civiles</x:v>
      </x:c>
      <x:c r="C10" s="59" t="n">
        <x:v>6.47</x:v>
      </x:c>
      <x:c r="D10" s="59" t="n">
        <x:v>6.42</x:v>
      </x:c>
      <x:c r="E10" s="59" t="n">
        <x:v>0.141</x:v>
      </x:c>
      <x:c r="F10" s="59" t="n">
        <x:v>6.138</x:v>
      </x:c>
      <x:c r="G10" s="59" t="n">
        <x:v>6.2518</x:v>
      </x:c>
      <x:c r="H10" s="59" t="n">
        <x:v>6.4218</x:v>
      </x:c>
      <x:c r="I10" s="59" t="n">
        <x:v>6.586</x:v>
      </x:c>
      <x:c r="J10" s="59" t="n">
        <x:v>6.702</x:v>
      </x:c>
      <x:c r="K10" s="59" t="n">
        <x:v>5.88</x:v>
      </x:c>
      <x:c r="L10" s="58" t="str">
        <x:v>modeled_latent_ensemble</x:v>
      </x:c>
      <x:c r="M10" s="58" t="str">
        <x:v>Uncertainty in dimensional composition; not an official EIU Peru sub-score.</x:v>
      </x:c>
    </x:row>
  </x:sheetData>
  <x:mergeCells>
    <x:mergeCell ref="A1:M1"/>
    <x:mergeCell ref="A2:M2"/>
  </x:mergeCells>
  <x:pageMargins left="0.7" right="0.7" top="0.75" bottom="0.75" header="0.3" footer="0.3"/>
  <x:tableParts count="1">
    <x:tablePart xmlns:r="http://schemas.openxmlformats.org/officeDocument/2006/relationships" r:id="R81d06640f82a4a3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s>
  <x:sheetData>
    <x:row r="1" ht="19.200000762939453" hidden="0" customHeight="1">
      <x:c r="A1" s="3" t="str">
        <x:v>Muestra del ensamble latente 2025</x:v>
      </x:c>
      <x:c r="B1" s="3" t="str">
        <x:v>Muestra del ensamble latente 2025</x:v>
      </x:c>
      <x:c r="C1" s="3" t="str">
        <x:v>Muestra del ensamble latente 2025</x:v>
      </x:c>
      <x:c r="D1" s="3" t="str">
        <x:v>Muestra del ensamble latente 2025</x:v>
      </x:c>
      <x:c r="E1" s="3" t="str">
        <x:v>Muestra del ensamble latente 2025</x:v>
      </x:c>
      <x:c r="F1" s="3" t="str">
        <x:v>Muestra del ensamble latente 2025</x:v>
      </x:c>
      <x:c r="G1" s="3" t="str">
        <x:v>Muestra del ensamble latente 2025</x:v>
      </x:c>
      <x:c r="H1" s="3" t="str">
        <x:v>Muestra del ensamble latente 2025</x:v>
      </x:c>
    </x:row>
    <x:row r="2" ht="15" hidden="0" customHeight="1">
      <x:c r="A2" s="7" t="str">
        <x:v>Primeras 500 de 10.000 realizaciones reproducibles. El ensamble completo está en data/peru_2025_anchor_ensemble.csv; cada fila promedia exactamente 5,88.</x:v>
      </x:c>
      <x:c r="B2" s="7" t="str">
        <x:v>Primeras 500 de 10.000 realizaciones reproducibles. El ensamble completo está en data/peru_2025_anchor_ensemble.csv; cada fila promedia exactamente 5,88.</x:v>
      </x:c>
      <x:c r="C2" s="7" t="str">
        <x:v>Primeras 500 de 10.000 realizaciones reproducibles. El ensamble completo está en data/peru_2025_anchor_ensemble.csv; cada fila promedia exactamente 5,88.</x:v>
      </x:c>
      <x:c r="D2" s="7" t="str">
        <x:v>Primeras 500 de 10.000 realizaciones reproducibles. El ensamble completo está en data/peru_2025_anchor_ensemble.csv; cada fila promedia exactamente 5,88.</x:v>
      </x:c>
      <x:c r="E2" s="7" t="str">
        <x:v>Primeras 500 de 10.000 realizaciones reproducibles. El ensamble completo está en data/peru_2025_anchor_ensemble.csv; cada fila promedia exactamente 5,88.</x:v>
      </x:c>
      <x:c r="F2" s="7" t="str">
        <x:v>Primeras 500 de 10.000 realizaciones reproducibles. El ensamble completo está en data/peru_2025_anchor_ensemble.csv; cada fila promedia exactamente 5,88.</x:v>
      </x:c>
      <x:c r="G2" s="7" t="str">
        <x:v>Primeras 500 de 10.000 realizaciones reproducibles. El ensamble completo está en data/peru_2025_anchor_ensemble.csv; cada fila promedia exactamente 5,88.</x:v>
      </x:c>
      <x:c r="H2" s="7" t="str">
        <x:v>Primeras 500 de 10.000 realizaciones reproducibles. El ensamble completo está en data/peru_2025_anchor_ensemble.csv; cada fila promedia exactamente 5,88.</x:v>
      </x:c>
    </x:row>
    <x:row r="3" ht="15" hidden="0" customHeight="1">
      <x:c r="A3" s="8"/>
      <x:c r="B3" s="8"/>
      <x:c r="C3" s="8"/>
      <x:c r="D3" s="8"/>
      <x:c r="E3" s="8"/>
      <x:c r="F3" s="8"/>
      <x:c r="G3" s="8"/>
      <x:c r="H3" s="8"/>
    </x:row>
    <x:row r="4"/>
    <x:row r="5" ht="15" hidden="0" customHeight="1">
      <x:c r="A5" s="14" t="str">
        <x:v>sample_id</x:v>
      </x:c>
      <x:c r="B5" s="14" t="str">
        <x:v>Proceso electoral y pluralismo</x:v>
      </x:c>
      <x:c r="C5" s="14" t="str">
        <x:v>Funcionamiento del gobierno</x:v>
      </x:c>
      <x:c r="D5" s="14" t="str">
        <x:v>Participación política</x:v>
      </x:c>
      <x:c r="E5" s="14" t="str">
        <x:v>Cultura política</x:v>
      </x:c>
      <x:c r="F5" s="14" t="str">
        <x:v>Libertades civiles</x:v>
      </x:c>
      <x:c r="G5" s="14" t="str">
        <x:v>overall_score</x:v>
      </x:c>
      <x:c r="H5" s="14" t="str">
        <x:v>data_status</x:v>
      </x:c>
    </x:row>
    <x:row r="6" ht="15" hidden="0" customHeight="1">
      <x:c r="A6" s="59" t="n">
        <x:v>1</x:v>
      </x:c>
      <x:c r="B6" s="59" t="n">
        <x:v>8.943143671862574</x:v>
      </x:c>
      <x:c r="C6" s="59" t="n">
        <x:v>6.100182798359855</x:v>
      </x:c>
      <x:c r="D6" s="59" t="n">
        <x:v>5.078338287805713</x:v>
      </x:c>
      <x:c r="E6" s="59" t="n">
        <x:v>2.947244453212089</x:v>
      </x:c>
      <x:c r="F6" s="59" t="n">
        <x:v>6.331090788759771</x:v>
      </x:c>
      <x:c r="G6" s="59" t="n">
        <x:v>5.880000000000001</x:v>
      </x:c>
      <x:c r="H6" s="58" t="str">
        <x:v>modeled_latent_ensemble</x:v>
      </x:c>
    </x:row>
    <x:row r="7" ht="15" hidden="0" customHeight="1">
      <x:c r="A7" s="60" t="n">
        <x:v>2</x:v>
      </x:c>
      <x:c r="B7" s="60" t="n">
        <x:v>8.858625445490912</x:v>
      </x:c>
      <x:c r="C7" s="60" t="n">
        <x:v>5.934543839543722</x:v>
      </x:c>
      <x:c r="D7" s="60" t="n">
        <x:v>5.254835184716809</x:v>
      </x:c>
      <x:c r="E7" s="60" t="n">
        <x:v>2.9611229379487414</x:v>
      </x:c>
      <x:c r="F7" s="60" t="n">
        <x:v>6.390872592299818</x:v>
      </x:c>
      <x:c r="G7" s="60" t="n">
        <x:v>5.88</x:v>
      </x:c>
      <x:c r="H7" s="57" t="str">
        <x:v>modeled_latent_ensemble</x:v>
      </x:c>
    </x:row>
    <x:row r="8" ht="15" hidden="0" customHeight="1">
      <x:c r="A8" s="59" t="n">
        <x:v>3</x:v>
      </x:c>
      <x:c r="B8" s="59" t="n">
        <x:v>8.9790539364426</x:v>
      </x:c>
      <x:c r="C8" s="59" t="n">
        <x:v>6.168023365399154</x:v>
      </x:c>
      <x:c r="D8" s="59" t="n">
        <x:v>5.222891648290099</x:v>
      </x:c>
      <x:c r="E8" s="59" t="n">
        <x:v>2.534451903434375</x:v>
      </x:c>
      <x:c r="F8" s="59" t="n">
        <x:v>6.495579146433773</x:v>
      </x:c>
      <x:c r="G8" s="59" t="n">
        <x:v>5.880000000000001</x:v>
      </x:c>
      <x:c r="H8" s="58" t="str">
        <x:v>modeled_latent_ensemble</x:v>
      </x:c>
    </x:row>
    <x:row r="9" ht="15" hidden="0" customHeight="1">
      <x:c r="A9" s="60" t="n">
        <x:v>4</x:v>
      </x:c>
      <x:c r="B9" s="60" t="n">
        <x:v>8.892396680986652</x:v>
      </x:c>
      <x:c r="C9" s="60" t="n">
        <x:v>5.941012069861758</x:v>
      </x:c>
      <x:c r="D9" s="60" t="n">
        <x:v>4.89708167599304</x:v>
      </x:c>
      <x:c r="E9" s="60" t="n">
        <x:v>3.339307483419288</x:v>
      </x:c>
      <x:c r="F9" s="60" t="n">
        <x:v>6.330202089739263</x:v>
      </x:c>
      <x:c r="G9" s="60" t="n">
        <x:v>5.88</x:v>
      </x:c>
      <x:c r="H9" s="57" t="str">
        <x:v>modeled_latent_ensemble</x:v>
      </x:c>
    </x:row>
    <x:row r="10" ht="15" hidden="0" customHeight="1">
      <x:c r="A10" s="59" t="n">
        <x:v>5</x:v>
      </x:c>
      <x:c r="B10" s="59" t="n">
        <x:v>8.852182436971052</x:v>
      </x:c>
      <x:c r="C10" s="59" t="n">
        <x:v>6.143607557222566</x:v>
      </x:c>
      <x:c r="D10" s="59" t="n">
        <x:v>5.049654017363077</x:v>
      </x:c>
      <x:c r="E10" s="59" t="n">
        <x:v>2.8651530186295884</x:v>
      </x:c>
      <x:c r="F10" s="59" t="n">
        <x:v>6.489402969813718</x:v>
      </x:c>
      <x:c r="G10" s="59" t="n">
        <x:v>5.880000000000001</x:v>
      </x:c>
      <x:c r="H10" s="58" t="str">
        <x:v>modeled_latent_ensemble</x:v>
      </x:c>
    </x:row>
    <x:row r="11" ht="15" hidden="0" customHeight="1">
      <x:c r="A11" s="60" t="n">
        <x:v>6</x:v>
      </x:c>
      <x:c r="B11" s="60" t="n">
        <x:v>8.809733444688439</x:v>
      </x:c>
      <x:c r="C11" s="60" t="n">
        <x:v>5.926050431867982</x:v>
      </x:c>
      <x:c r="D11" s="60" t="n">
        <x:v>5.168420400809297</x:v>
      </x:c>
      <x:c r="E11" s="60" t="n">
        <x:v>3.1250951736633605</x:v>
      </x:c>
      <x:c r="F11" s="60" t="n">
        <x:v>6.370700548970922</x:v>
      </x:c>
      <x:c r="G11" s="60" t="n">
        <x:v>5.880000000000001</x:v>
      </x:c>
      <x:c r="H11" s="57" t="str">
        <x:v>modeled_latent_ensemble</x:v>
      </x:c>
    </x:row>
    <x:row r="12" ht="15" hidden="0" customHeight="1">
      <x:c r="A12" s="59" t="n">
        <x:v>7</x:v>
      </x:c>
      <x:c r="B12" s="59" t="n">
        <x:v>8.79758843553478</x:v>
      </x:c>
      <x:c r="C12" s="59" t="n">
        <x:v>5.897394948438117</x:v>
      </x:c>
      <x:c r="D12" s="59" t="n">
        <x:v>5.084450999371426</x:v>
      </x:c>
      <x:c r="E12" s="59" t="n">
        <x:v>3.352615783997557</x:v>
      </x:c>
      <x:c r="F12" s="59" t="n">
        <x:v>6.26794983265812</x:v>
      </x:c>
      <x:c r="G12" s="59" t="n">
        <x:v>5.88</x:v>
      </x:c>
      <x:c r="H12" s="58" t="str">
        <x:v>modeled_latent_ensemble</x:v>
      </x:c>
    </x:row>
    <x:row r="13" ht="15" hidden="0" customHeight="1">
      <x:c r="A13" s="60" t="n">
        <x:v>8</x:v>
      </x:c>
      <x:c r="B13" s="60" t="n">
        <x:v>8.811775174517136</x:v>
      </x:c>
      <x:c r="C13" s="60" t="n">
        <x:v>5.979388114202222</x:v>
      </x:c>
      <x:c r="D13" s="60" t="n">
        <x:v>4.9563611025177465</x:v>
      </x:c>
      <x:c r="E13" s="60" t="n">
        <x:v>3.0964438756311097</x:v>
      </x:c>
      <x:c r="F13" s="60" t="n">
        <x:v>6.556031733131787</x:v>
      </x:c>
      <x:c r="G13" s="60" t="n">
        <x:v>5.88</x:v>
      </x:c>
      <x:c r="H13" s="57" t="str">
        <x:v>modeled_latent_ensemble</x:v>
      </x:c>
    </x:row>
    <x:row r="14" ht="15" hidden="0" customHeight="1">
      <x:c r="A14" s="59" t="n">
        <x:v>9</x:v>
      </x:c>
      <x:c r="B14" s="59" t="n">
        <x:v>8.843574756424326</x:v>
      </x:c>
      <x:c r="C14" s="59" t="n">
        <x:v>5.9028257905358865</x:v>
      </x:c>
      <x:c r="D14" s="59" t="n">
        <x:v>5.042972443866584</x:v>
      </x:c>
      <x:c r="E14" s="59" t="n">
        <x:v>3.0932548937434325</x:v>
      </x:c>
      <x:c r="F14" s="59" t="n">
        <x:v>6.517372115429772</x:v>
      </x:c>
      <x:c r="G14" s="59" t="n">
        <x:v>5.880000000000001</x:v>
      </x:c>
      <x:c r="H14" s="58" t="str">
        <x:v>modeled_latent_ensemble</x:v>
      </x:c>
    </x:row>
    <x:row r="15" ht="15" hidden="0" customHeight="1">
      <x:c r="A15" s="60" t="n">
        <x:v>10</x:v>
      </x:c>
      <x:c r="B15" s="60" t="n">
        <x:v>8.89373645424451</x:v>
      </x:c>
      <x:c r="C15" s="60" t="n">
        <x:v>5.942208495166821</x:v>
      </x:c>
      <x:c r="D15" s="60" t="n">
        <x:v>5.0852146818366055</x:v>
      </x:c>
      <x:c r="E15" s="60" t="n">
        <x:v>3.015699609207584</x:v>
      </x:c>
      <x:c r="F15" s="60" t="n">
        <x:v>6.463140759544482</x:v>
      </x:c>
      <x:c r="G15" s="60" t="n">
        <x:v>5.880000000000001</x:v>
      </x:c>
      <x:c r="H15" s="57" t="str">
        <x:v>modeled_latent_ensemble</x:v>
      </x:c>
    </x:row>
    <x:row r="16" ht="15" hidden="0" customHeight="1">
      <x:c r="A16" s="59" t="n">
        <x:v>11</x:v>
      </x:c>
      <x:c r="B16" s="59" t="n">
        <x:v>8.957624319172211</x:v>
      </x:c>
      <x:c r="C16" s="59" t="n">
        <x:v>6.045188646553558</x:v>
      </x:c>
      <x:c r="D16" s="59" t="n">
        <x:v>5.162321610167366</x:v>
      </x:c>
      <x:c r="E16" s="59" t="n">
        <x:v>2.77843803918658</x:v>
      </x:c>
      <x:c r="F16" s="59" t="n">
        <x:v>6.4564273849202864</x:v>
      </x:c>
      <x:c r="G16" s="59" t="n">
        <x:v>5.88</x:v>
      </x:c>
      <x:c r="H16" s="58" t="str">
        <x:v>modeled_latent_ensemble</x:v>
      </x:c>
    </x:row>
    <x:row r="17" ht="15" hidden="0" customHeight="1">
      <x:c r="A17" s="60" t="n">
        <x:v>12</x:v>
      </x:c>
      <x:c r="B17" s="60" t="n">
        <x:v>8.793453280794214</x:v>
      </x:c>
      <x:c r="C17" s="60" t="n">
        <x:v>5.92187240394487</x:v>
      </x:c>
      <x:c r="D17" s="60" t="n">
        <x:v>5.07522816662707</x:v>
      </x:c>
      <x:c r="E17" s="60" t="n">
        <x:v>3.1673029158064727</x:v>
      </x:c>
      <x:c r="F17" s="60" t="n">
        <x:v>6.442143232827374</x:v>
      </x:c>
      <x:c r="G17" s="60" t="n">
        <x:v>5.880000000000001</x:v>
      </x:c>
      <x:c r="H17" s="57" t="str">
        <x:v>modeled_latent_ensemble</x:v>
      </x:c>
    </x:row>
    <x:row r="18" ht="15" hidden="0" customHeight="1">
      <x:c r="A18" s="59" t="n">
        <x:v>13</x:v>
      </x:c>
      <x:c r="B18" s="59" t="n">
        <x:v>8.915912706865374</x:v>
      </x:c>
      <x:c r="C18" s="59" t="n">
        <x:v>6.034197288581566</x:v>
      </x:c>
      <x:c r="D18" s="59" t="n">
        <x:v>5.14743933908424</x:v>
      </x:c>
      <x:c r="E18" s="59" t="n">
        <x:v>2.9881068624750684</x:v>
      </x:c>
      <x:c r="F18" s="59" t="n">
        <x:v>6.314343802993753</x:v>
      </x:c>
      <x:c r="G18" s="59" t="n">
        <x:v>5.880000000000001</x:v>
      </x:c>
      <x:c r="H18" s="58" t="str">
        <x:v>modeled_latent_ensemble</x:v>
      </x:c>
    </x:row>
    <x:row r="19" ht="15" hidden="0" customHeight="1">
      <x:c r="A19" s="60" t="n">
        <x:v>14</x:v>
      </x:c>
      <x:c r="B19" s="60" t="n">
        <x:v>8.726318882835688</x:v>
      </x:c>
      <x:c r="C19" s="60" t="n">
        <x:v>6.077672437110867</x:v>
      </x:c>
      <x:c r="D19" s="60" t="n">
        <x:v>4.957441251771433</x:v>
      </x:c>
      <x:c r="E19" s="60" t="n">
        <x:v>3.165450474582737</x:v>
      </x:c>
      <x:c r="F19" s="60" t="n">
        <x:v>6.473116953699276</x:v>
      </x:c>
      <x:c r="G19" s="60" t="n">
        <x:v>5.880000000000001</x:v>
      </x:c>
      <x:c r="H19" s="57" t="str">
        <x:v>modeled_latent_ensemble</x:v>
      </x:c>
    </x:row>
    <x:row r="20" ht="15" hidden="0" customHeight="1">
      <x:c r="A20" s="59" t="n">
        <x:v>15</x:v>
      </x:c>
      <x:c r="B20" s="59" t="n">
        <x:v>8.75758230656861</x:v>
      </x:c>
      <x:c r="C20" s="59" t="n">
        <x:v>6.038314701016969</x:v>
      </x:c>
      <x:c r="D20" s="59" t="n">
        <x:v>5.301116129515139</x:v>
      </x:c>
      <x:c r="E20" s="59" t="n">
        <x:v>2.9287238194077285</x:v>
      </x:c>
      <x:c r="F20" s="59" t="n">
        <x:v>6.374263043491555</x:v>
      </x:c>
      <x:c r="G20" s="59" t="n">
        <x:v>5.880000000000001</x:v>
      </x:c>
      <x:c r="H20" s="58" t="str">
        <x:v>modeled_latent_ensemble</x:v>
      </x:c>
    </x:row>
    <x:row r="21" ht="15" hidden="0" customHeight="1">
      <x:c r="A21" s="60" t="n">
        <x:v>16</x:v>
      </x:c>
      <x:c r="B21" s="60" t="n">
        <x:v>8.795423285738112</x:v>
      </x:c>
      <x:c r="C21" s="60" t="n">
        <x:v>5.969449925956686</x:v>
      </x:c>
      <x:c r="D21" s="60" t="n">
        <x:v>4.8299536341885485</x:v>
      </x:c>
      <x:c r="E21" s="60" t="n">
        <x:v>3.2238763154123724</x:v>
      </x:c>
      <x:c r="F21" s="60" t="n">
        <x:v>6.581296838704282</x:v>
      </x:c>
      <x:c r="G21" s="60" t="n">
        <x:v>5.880000000000001</x:v>
      </x:c>
      <x:c r="H21" s="57" t="str">
        <x:v>modeled_latent_ensemble</x:v>
      </x:c>
    </x:row>
    <x:row r="22" ht="15" hidden="0" customHeight="1">
      <x:c r="A22" s="59" t="n">
        <x:v>17</x:v>
      </x:c>
      <x:c r="B22" s="59" t="n">
        <x:v>8.92659169478168</x:v>
      </x:c>
      <x:c r="C22" s="59" t="n">
        <x:v>5.892972063503474</x:v>
      </x:c>
      <x:c r="D22" s="59" t="n">
        <x:v>5.27399851857065</x:v>
      </x:c>
      <x:c r="E22" s="59" t="n">
        <x:v>2.708724899237559</x:v>
      </x:c>
      <x:c r="F22" s="59" t="n">
        <x:v>6.5977128239066385</x:v>
      </x:c>
      <x:c r="G22" s="59" t="n">
        <x:v>5.88</x:v>
      </x:c>
      <x:c r="H22" s="58" t="str">
        <x:v>modeled_latent_ensemble</x:v>
      </x:c>
    </x:row>
    <x:row r="23" ht="15" hidden="0" customHeight="1">
      <x:c r="A23" s="60" t="n">
        <x:v>18</x:v>
      </x:c>
      <x:c r="B23" s="60" t="n">
        <x:v>8.88206215881202</x:v>
      </x:c>
      <x:c r="C23" s="60" t="n">
        <x:v>6.071421998033771</x:v>
      </x:c>
      <x:c r="D23" s="60" t="n">
        <x:v>5.063597993017585</x:v>
      </x:c>
      <x:c r="E23" s="60" t="n">
        <x:v>2.826327478778171</x:v>
      </x:c>
      <x:c r="F23" s="60" t="n">
        <x:v>6.556590371358452</x:v>
      </x:c>
      <x:c r="G23" s="60" t="n">
        <x:v>5.880000000000001</x:v>
      </x:c>
      <x:c r="H23" s="57" t="str">
        <x:v>modeled_latent_ensemble</x:v>
      </x:c>
    </x:row>
    <x:row r="24" ht="15" hidden="0" customHeight="1">
      <x:c r="A24" s="59" t="n">
        <x:v>19</x:v>
      </x:c>
      <x:c r="B24" s="59" t="n">
        <x:v>8.917770470821793</x:v>
      </x:c>
      <x:c r="C24" s="59" t="n">
        <x:v>5.879357979855637</x:v>
      </x:c>
      <x:c r="D24" s="59" t="n">
        <x:v>4.872083799288404</x:v>
      </x:c>
      <x:c r="E24" s="59" t="n">
        <x:v>3.288794494251756</x:v>
      </x:c>
      <x:c r="F24" s="59" t="n">
        <x:v>6.441993255782411</x:v>
      </x:c>
      <x:c r="G24" s="59" t="n">
        <x:v>5.880000000000001</x:v>
      </x:c>
      <x:c r="H24" s="58" t="str">
        <x:v>modeled_latent_ensemble</x:v>
      </x:c>
    </x:row>
    <x:row r="25" ht="15" hidden="0" customHeight="1">
      <x:c r="A25" s="60" t="n">
        <x:v>20</x:v>
      </x:c>
      <x:c r="B25" s="60" t="n">
        <x:v>8.991472556449894</x:v>
      </x:c>
      <x:c r="C25" s="60" t="n">
        <x:v>6.022060009173279</x:v>
      </x:c>
      <x:c r="D25" s="60" t="n">
        <x:v>5.063789171362939</x:v>
      </x:c>
      <x:c r="E25" s="60" t="n">
        <x:v>3.047761242502046</x:v>
      </x:c>
      <x:c r="F25" s="60" t="n">
        <x:v>6.274917020511844</x:v>
      </x:c>
      <x:c r="G25" s="60" t="n">
        <x:v>5.88</x:v>
      </x:c>
      <x:c r="H25" s="57" t="str">
        <x:v>modeled_latent_ensemble</x:v>
      </x:c>
    </x:row>
    <x:row r="26" ht="15" hidden="0" customHeight="1">
      <x:c r="A26" s="59" t="n">
        <x:v>21</x:v>
      </x:c>
      <x:c r="B26" s="59" t="n">
        <x:v>8.820083274615827</x:v>
      </x:c>
      <x:c r="C26" s="59" t="n">
        <x:v>6.053111899517331</x:v>
      </x:c>
      <x:c r="D26" s="59" t="n">
        <x:v>4.982076657077772</x:v>
      </x:c>
      <x:c r="E26" s="59" t="n">
        <x:v>3.1607273166613785</x:v>
      </x:c>
      <x:c r="F26" s="59" t="n">
        <x:v>6.384000852127692</x:v>
      </x:c>
      <x:c r="G26" s="59" t="n">
        <x:v>5.880000000000001</x:v>
      </x:c>
      <x:c r="H26" s="58" t="str">
        <x:v>modeled_latent_ensemble</x:v>
      </x:c>
    </x:row>
    <x:row r="27" ht="15" hidden="0" customHeight="1">
      <x:c r="A27" s="60" t="n">
        <x:v>22</x:v>
      </x:c>
      <x:c r="B27" s="60" t="n">
        <x:v>8.897273726030535</x:v>
      </x:c>
      <x:c r="C27" s="60" t="n">
        <x:v>5.927019372782373</x:v>
      </x:c>
      <x:c r="D27" s="60" t="n">
        <x:v>5.113373983834077</x:v>
      </x:c>
      <x:c r="E27" s="60" t="n">
        <x:v>3.0170618504189335</x:v>
      </x:c>
      <x:c r="F27" s="60" t="n">
        <x:v>6.445271066934082</x:v>
      </x:c>
      <x:c r="G27" s="60" t="n">
        <x:v>5.880000000000001</x:v>
      </x:c>
      <x:c r="H27" s="57" t="str">
        <x:v>modeled_latent_ensemble</x:v>
      </x:c>
    </x:row>
    <x:row r="28" ht="15" hidden="0" customHeight="1">
      <x:c r="A28" s="59" t="n">
        <x:v>23</x:v>
      </x:c>
      <x:c r="B28" s="59" t="n">
        <x:v>8.774619937183811</x:v>
      </x:c>
      <x:c r="C28" s="59" t="n">
        <x:v>5.969260480085094</x:v>
      </x:c>
      <x:c r="D28" s="59" t="n">
        <x:v>5.142756080206188</x:v>
      </x:c>
      <x:c r="E28" s="59" t="n">
        <x:v>3.1752760102063515</x:v>
      </x:c>
      <x:c r="F28" s="59" t="n">
        <x:v>6.338087492318557</x:v>
      </x:c>
      <x:c r="G28" s="59" t="n">
        <x:v>5.88</x:v>
      </x:c>
      <x:c r="H28" s="58" t="str">
        <x:v>modeled_latent_ensemble</x:v>
      </x:c>
    </x:row>
    <x:row r="29" ht="15" hidden="0" customHeight="1">
      <x:c r="A29" s="60" t="n">
        <x:v>24</x:v>
      </x:c>
      <x:c r="B29" s="60" t="n">
        <x:v>8.887401522829999</x:v>
      </x:c>
      <x:c r="C29" s="60" t="n">
        <x:v>6.0228922546770125</x:v>
      </x:c>
      <x:c r="D29" s="60" t="n">
        <x:v>5.225746279747564</x:v>
      </x:c>
      <x:c r="E29" s="60" t="n">
        <x:v>2.9462523715096682</x:v>
      </x:c>
      <x:c r="F29" s="60" t="n">
        <x:v>6.317707571235758</x:v>
      </x:c>
      <x:c r="G29" s="60" t="n">
        <x:v>5.880000000000001</x:v>
      </x:c>
      <x:c r="H29" s="57" t="str">
        <x:v>modeled_latent_ensemble</x:v>
      </x:c>
    </x:row>
    <x:row r="30" ht="15" hidden="0" customHeight="1">
      <x:c r="A30" s="59" t="n">
        <x:v>25</x:v>
      </x:c>
      <x:c r="B30" s="59" t="n">
        <x:v>8.966951574349201</x:v>
      </x:c>
      <x:c r="C30" s="59" t="n">
        <x:v>6.118656942185661</x:v>
      </x:c>
      <x:c r="D30" s="59" t="n">
        <x:v>5.1345415045918745</x:v>
      </x:c>
      <x:c r="E30" s="59" t="n">
        <x:v>2.7871482558836376</x:v>
      </x:c>
      <x:c r="F30" s="59" t="n">
        <x:v>6.392701722989627</x:v>
      </x:c>
      <x:c r="G30" s="59" t="n">
        <x:v>5.88</x:v>
      </x:c>
      <x:c r="H30" s="58" t="str">
        <x:v>modeled_latent_ensemble</x:v>
      </x:c>
    </x:row>
    <x:row r="31" ht="15" hidden="0" customHeight="1">
      <x:c r="A31" s="60" t="n">
        <x:v>26</x:v>
      </x:c>
      <x:c r="B31" s="60" t="n">
        <x:v>8.904870863221005</x:v>
      </x:c>
      <x:c r="C31" s="60" t="n">
        <x:v>6.19633232588166</x:v>
      </x:c>
      <x:c r="D31" s="60" t="n">
        <x:v>5.226162319869497</x:v>
      </x:c>
      <x:c r="E31" s="60" t="n">
        <x:v>2.735652071707823</x:v>
      </x:c>
      <x:c r="F31" s="60" t="n">
        <x:v>6.336982419320016</x:v>
      </x:c>
      <x:c r="G31" s="60" t="n">
        <x:v>5.880000000000001</x:v>
      </x:c>
      <x:c r="H31" s="57" t="str">
        <x:v>modeled_latent_ensemble</x:v>
      </x:c>
    </x:row>
    <x:row r="32" ht="15" hidden="0" customHeight="1">
      <x:c r="A32" s="59" t="n">
        <x:v>27</x:v>
      </x:c>
      <x:c r="B32" s="59" t="n">
        <x:v>8.884009981646765</x:v>
      </x:c>
      <x:c r="C32" s="59" t="n">
        <x:v>5.945289560803892</x:v>
      </x:c>
      <x:c r="D32" s="59" t="n">
        <x:v>5.025300847017808</x:v>
      </x:c>
      <x:c r="E32" s="59" t="n">
        <x:v>3.0246596966739987</x:v>
      </x:c>
      <x:c r="F32" s="59" t="n">
        <x:v>6.520739913857538</x:v>
      </x:c>
      <x:c r="G32" s="59" t="n">
        <x:v>5.880000000000001</x:v>
      </x:c>
      <x:c r="H32" s="58" t="str">
        <x:v>modeled_latent_ensemble</x:v>
      </x:c>
    </x:row>
    <x:row r="33" ht="15" hidden="0" customHeight="1">
      <x:c r="A33" s="60" t="n">
        <x:v>28</x:v>
      </x:c>
      <x:c r="B33" s="60" t="n">
        <x:v>8.779639322062419</x:v>
      </x:c>
      <x:c r="C33" s="60" t="n">
        <x:v>6.084003651077048</x:v>
      </x:c>
      <x:c r="D33" s="60" t="n">
        <x:v>5.097189073886108</x:v>
      </x:c>
      <x:c r="E33" s="60" t="n">
        <x:v>3.017413982091729</x:v>
      </x:c>
      <x:c r="F33" s="60" t="n">
        <x:v>6.421753970882697</x:v>
      </x:c>
      <x:c r="G33" s="60" t="n">
        <x:v>5.880000000000001</x:v>
      </x:c>
      <x:c r="H33" s="57" t="str">
        <x:v>modeled_latent_ensemble</x:v>
      </x:c>
    </x:row>
    <x:row r="34" ht="15" hidden="0" customHeight="1">
      <x:c r="A34" s="59" t="n">
        <x:v>29</x:v>
      </x:c>
      <x:c r="B34" s="59" t="n">
        <x:v>8.950124269125327</x:v>
      </x:c>
      <x:c r="C34" s="59" t="n">
        <x:v>6.090121550534088</x:v>
      </x:c>
      <x:c r="D34" s="59" t="n">
        <x:v>5.131716047970287</x:v>
      </x:c>
      <x:c r="E34" s="59" t="n">
        <x:v>2.7535799086738892</x:v>
      </x:c>
      <x:c r="F34" s="59" t="n">
        <x:v>6.474458223696409</x:v>
      </x:c>
      <x:c r="G34" s="59" t="n">
        <x:v>5.88</x:v>
      </x:c>
      <x:c r="H34" s="58" t="str">
        <x:v>modeled_latent_ensemble</x:v>
      </x:c>
    </x:row>
    <x:row r="35" ht="15" hidden="0" customHeight="1">
      <x:c r="A35" s="60" t="n">
        <x:v>30</x:v>
      </x:c>
      <x:c r="B35" s="60" t="n">
        <x:v>8.802520799179577</x:v>
      </x:c>
      <x:c r="C35" s="60" t="n">
        <x:v>5.975566119396421</x:v>
      </x:c>
      <x:c r="D35" s="60" t="n">
        <x:v>5.284966510586642</x:v>
      </x:c>
      <x:c r="E35" s="60" t="n">
        <x:v>2.9227796139991735</x:v>
      </x:c>
      <x:c r="F35" s="60" t="n">
        <x:v>6.414166956838187</x:v>
      </x:c>
      <x:c r="G35" s="60" t="n">
        <x:v>5.88</x:v>
      </x:c>
      <x:c r="H35" s="57" t="str">
        <x:v>modeled_latent_ensemble</x:v>
      </x:c>
    </x:row>
    <x:row r="36" ht="15" hidden="0" customHeight="1">
      <x:c r="A36" s="59" t="n">
        <x:v>31</x:v>
      </x:c>
      <x:c r="B36" s="59" t="n">
        <x:v>8.769963135543955</x:v>
      </x:c>
      <x:c r="C36" s="59" t="n">
        <x:v>6.014179901832018</x:v>
      </x:c>
      <x:c r="D36" s="59" t="n">
        <x:v>4.864454514946359</x:v>
      </x:c>
      <x:c r="E36" s="59" t="n">
        <x:v>3.2033784823514617</x:v>
      </x:c>
      <x:c r="F36" s="59" t="n">
        <x:v>6.548023965326207</x:v>
      </x:c>
      <x:c r="G36" s="59" t="n">
        <x:v>5.88</x:v>
      </x:c>
      <x:c r="H36" s="58" t="str">
        <x:v>modeled_latent_ensemble</x:v>
      </x:c>
    </x:row>
    <x:row r="37" ht="15" hidden="0" customHeight="1">
      <x:c r="A37" s="60" t="n">
        <x:v>32</x:v>
      </x:c>
      <x:c r="B37" s="60" t="n">
        <x:v>8.809938807823347</x:v>
      </x:c>
      <x:c r="C37" s="60" t="n">
        <x:v>6.106126822807286</x:v>
      </x:c>
      <x:c r="D37" s="60" t="n">
        <x:v>5.121700292730298</x:v>
      </x:c>
      <x:c r="E37" s="60" t="n">
        <x:v>2.959208515972885</x:v>
      </x:c>
      <x:c r="F37" s="60" t="n">
        <x:v>6.403025560666184</x:v>
      </x:c>
      <x:c r="G37" s="60" t="n">
        <x:v>5.880000000000001</x:v>
      </x:c>
      <x:c r="H37" s="57" t="str">
        <x:v>modeled_latent_ensemble</x:v>
      </x:c>
    </x:row>
    <x:row r="38" ht="15" hidden="0" customHeight="1">
      <x:c r="A38" s="59" t="n">
        <x:v>33</x:v>
      </x:c>
      <x:c r="B38" s="59" t="n">
        <x:v>8.788958809276032</x:v>
      </x:c>
      <x:c r="C38" s="59" t="n">
        <x:v>6.122434816692905</x:v>
      </x:c>
      <x:c r="D38" s="59" t="n">
        <x:v>4.813237547898031</x:v>
      </x:c>
      <x:c r="E38" s="59" t="n">
        <x:v>3.194334792229684</x:v>
      </x:c>
      <x:c r="F38" s="59" t="n">
        <x:v>6.481034033903349</x:v>
      </x:c>
      <x:c r="G38" s="59" t="n">
        <x:v>5.88</x:v>
      </x:c>
      <x:c r="H38" s="58" t="str">
        <x:v>modeled_latent_ensemble</x:v>
      </x:c>
    </x:row>
    <x:row r="39" ht="15" hidden="0" customHeight="1">
      <x:c r="A39" s="60" t="n">
        <x:v>34</x:v>
      </x:c>
      <x:c r="B39" s="60" t="n">
        <x:v>8.899818701656832</x:v>
      </x:c>
      <x:c r="C39" s="60" t="n">
        <x:v>6.019979820962762</x:v>
      </x:c>
      <x:c r="D39" s="60" t="n">
        <x:v>5.055505849205469</x:v>
      </x:c>
      <x:c r="E39" s="60" t="n">
        <x:v>3.19408374022049</x:v>
      </x:c>
      <x:c r="F39" s="60" t="n">
        <x:v>6.230611887954448</x:v>
      </x:c>
      <x:c r="G39" s="60" t="n">
        <x:v>5.88</x:v>
      </x:c>
      <x:c r="H39" s="57" t="str">
        <x:v>modeled_latent_ensemble</x:v>
      </x:c>
    </x:row>
    <x:row r="40" ht="15" hidden="0" customHeight="1">
      <x:c r="A40" s="59" t="n">
        <x:v>35</x:v>
      </x:c>
      <x:c r="B40" s="59" t="n">
        <x:v>8.854236778968465</x:v>
      </x:c>
      <x:c r="C40" s="59" t="n">
        <x:v>6.097423967849861</x:v>
      </x:c>
      <x:c r="D40" s="59" t="n">
        <x:v>4.958682845342915</x:v>
      </x:c>
      <x:c r="E40" s="59" t="n">
        <x:v>3.056378825753457</x:v>
      </x:c>
      <x:c r="F40" s="59" t="n">
        <x:v>6.433277582085303</x:v>
      </x:c>
      <x:c r="G40" s="59" t="n">
        <x:v>5.88</x:v>
      </x:c>
      <x:c r="H40" s="58" t="str">
        <x:v>modeled_latent_ensemble</x:v>
      </x:c>
    </x:row>
    <x:row r="41" ht="15" hidden="0" customHeight="1">
      <x:c r="A41" s="60" t="n">
        <x:v>36</x:v>
      </x:c>
      <x:c r="B41" s="60" t="n">
        <x:v>8.858360880825686</x:v>
      </x:c>
      <x:c r="C41" s="60" t="n">
        <x:v>6.1329809879499635</x:v>
      </x:c>
      <x:c r="D41" s="60" t="n">
        <x:v>5.05557987192858</x:v>
      </x:c>
      <x:c r="E41" s="60" t="n">
        <x:v>2.8906739622311552</x:v>
      </x:c>
      <x:c r="F41" s="60" t="n">
        <x:v>6.462404297064617</x:v>
      </x:c>
      <x:c r="G41" s="60" t="n">
        <x:v>5.88</x:v>
      </x:c>
      <x:c r="H41" s="57" t="str">
        <x:v>modeled_latent_ensemble</x:v>
      </x:c>
    </x:row>
    <x:row r="42" ht="15" hidden="0" customHeight="1">
      <x:c r="A42" s="59" t="n">
        <x:v>37</x:v>
      </x:c>
      <x:c r="B42" s="59" t="n">
        <x:v>8.887982025984668</x:v>
      </x:c>
      <x:c r="C42" s="59" t="n">
        <x:v>6.167425366130129</x:v>
      </x:c>
      <x:c r="D42" s="59" t="n">
        <x:v>5.0509971665757405</x:v>
      </x:c>
      <x:c r="E42" s="59" t="n">
        <x:v>2.823503500054718</x:v>
      </x:c>
      <x:c r="F42" s="59" t="n">
        <x:v>6.470091941254747</x:v>
      </x:c>
      <x:c r="G42" s="59" t="n">
        <x:v>5.880000000000001</x:v>
      </x:c>
      <x:c r="H42" s="58" t="str">
        <x:v>modeled_latent_ensemble</x:v>
      </x:c>
    </x:row>
    <x:row r="43" ht="15" hidden="0" customHeight="1">
      <x:c r="A43" s="60" t="n">
        <x:v>38</x:v>
      </x:c>
      <x:c r="B43" s="60" t="n">
        <x:v>8.93101141076299</x:v>
      </x:c>
      <x:c r="C43" s="60" t="n">
        <x:v>6.0514418952444995</x:v>
      </x:c>
      <x:c r="D43" s="60" t="n">
        <x:v>4.995546299207169</x:v>
      </x:c>
      <x:c r="E43" s="60" t="n">
        <x:v>3.025526511329725</x:v>
      </x:c>
      <x:c r="F43" s="60" t="n">
        <x:v>6.396473883455618</x:v>
      </x:c>
      <x:c r="G43" s="60" t="n">
        <x:v>5.880000000000001</x:v>
      </x:c>
      <x:c r="H43" s="57" t="str">
        <x:v>modeled_latent_ensemble</x:v>
      </x:c>
    </x:row>
    <x:row r="44" ht="15" hidden="0" customHeight="1">
      <x:c r="A44" s="59" t="n">
        <x:v>39</x:v>
      </x:c>
      <x:c r="B44" s="59" t="n">
        <x:v>8.775918432377143</x:v>
      </x:c>
      <x:c r="C44" s="59" t="n">
        <x:v>5.885375830450285</x:v>
      </x:c>
      <x:c r="D44" s="59" t="n">
        <x:v>4.922207357866271</x:v>
      </x:c>
      <x:c r="E44" s="59" t="n">
        <x:v>3.470094969590556</x:v>
      </x:c>
      <x:c r="F44" s="59" t="n">
        <x:v>6.346403409715745</x:v>
      </x:c>
      <x:c r="G44" s="59" t="n">
        <x:v>5.88</x:v>
      </x:c>
      <x:c r="H44" s="58" t="str">
        <x:v>modeled_latent_ensemble</x:v>
      </x:c>
    </x:row>
    <x:row r="45" ht="15" hidden="0" customHeight="1">
      <x:c r="A45" s="60" t="n">
        <x:v>40</x:v>
      </x:c>
      <x:c r="B45" s="60" t="n">
        <x:v>8.728139761094692</x:v>
      </x:c>
      <x:c r="C45" s="60" t="n">
        <x:v>5.935128106072182</x:v>
      </x:c>
      <x:c r="D45" s="60" t="n">
        <x:v>4.829810967346733</x:v>
      </x:c>
      <x:c r="E45" s="60" t="n">
        <x:v>3.4402463039067275</x:v>
      </x:c>
      <x:c r="F45" s="60" t="n">
        <x:v>6.4666748615796665</x:v>
      </x:c>
      <x:c r="G45" s="60" t="n">
        <x:v>5.879999999999999</x:v>
      </x:c>
      <x:c r="H45" s="57" t="str">
        <x:v>modeled_latent_ensemble</x:v>
      </x:c>
    </x:row>
    <x:row r="46" ht="15" hidden="0" customHeight="1">
      <x:c r="A46" s="59" t="n">
        <x:v>41</x:v>
      </x:c>
      <x:c r="B46" s="59" t="n">
        <x:v>9.016464540529128</x:v>
      </x:c>
      <x:c r="C46" s="59" t="n">
        <x:v>6.152432250990956</x:v>
      </x:c>
      <x:c r="D46" s="59" t="n">
        <x:v>5.047830553531426</x:v>
      </x:c>
      <x:c r="E46" s="59" t="n">
        <x:v>2.692481628617156</x:v>
      </x:c>
      <x:c r="F46" s="59" t="n">
        <x:v>6.490791026331334</x:v>
      </x:c>
      <x:c r="G46" s="59" t="n">
        <x:v>5.88</x:v>
      </x:c>
      <x:c r="H46" s="58" t="str">
        <x:v>modeled_latent_ensemble</x:v>
      </x:c>
    </x:row>
    <x:row r="47" ht="15" hidden="0" customHeight="1">
      <x:c r="A47" s="60" t="n">
        <x:v>42</x:v>
      </x:c>
      <x:c r="B47" s="60" t="n">
        <x:v>8.75680530541543</x:v>
      </x:c>
      <x:c r="C47" s="60" t="n">
        <x:v>6.0604578265581255</x:v>
      </x:c>
      <x:c r="D47" s="60" t="n">
        <x:v>5.1218343270097035</x:v>
      </x:c>
      <x:c r="E47" s="60" t="n">
        <x:v>3.1379984390780984</x:v>
      </x:c>
      <x:c r="F47" s="60" t="n">
        <x:v>6.3229041019386445</x:v>
      </x:c>
      <x:c r="G47" s="60" t="n">
        <x:v>5.880000000000001</x:v>
      </x:c>
      <x:c r="H47" s="57" t="str">
        <x:v>modeled_latent_ensemble</x:v>
      </x:c>
    </x:row>
    <x:row r="48" ht="15" hidden="0" customHeight="1">
      <x:c r="A48" s="59" t="n">
        <x:v>43</x:v>
      </x:c>
      <x:c r="B48" s="59" t="n">
        <x:v>8.878160177571248</x:v>
      </x:c>
      <x:c r="C48" s="59" t="n">
        <x:v>6.045142268192797</x:v>
      </x:c>
      <x:c r="D48" s="59" t="n">
        <x:v>5.347769175801292</x:v>
      </x:c>
      <x:c r="E48" s="59" t="n">
        <x:v>2.5468916770666965</x:v>
      </x:c>
      <x:c r="F48" s="59" t="n">
        <x:v>6.582036701367968</x:v>
      </x:c>
      <x:c r="G48" s="59" t="n">
        <x:v>5.880000000000001</x:v>
      </x:c>
      <x:c r="H48" s="58" t="str">
        <x:v>modeled_latent_ensemble</x:v>
      </x:c>
    </x:row>
    <x:row r="49" ht="15" hidden="0" customHeight="1">
      <x:c r="A49" s="60" t="n">
        <x:v>44</x:v>
      </x:c>
      <x:c r="B49" s="60" t="n">
        <x:v>8.748962084781821</x:v>
      </x:c>
      <x:c r="C49" s="60" t="n">
        <x:v>5.958366523812733</x:v>
      </x:c>
      <x:c r="D49" s="60" t="n">
        <x:v>5.1106644442353835</x:v>
      </x:c>
      <x:c r="E49" s="60" t="n">
        <x:v>3.3637295704596637</x:v>
      </x:c>
      <x:c r="F49" s="60" t="n">
        <x:v>6.218277376710399</x:v>
      </x:c>
      <x:c r="G49" s="60" t="n">
        <x:v>5.880000000000001</x:v>
      </x:c>
      <x:c r="H49" s="57" t="str">
        <x:v>modeled_latent_ensemble</x:v>
      </x:c>
    </x:row>
    <x:row r="50" ht="15" hidden="0" customHeight="1">
      <x:c r="A50" s="59" t="n">
        <x:v>45</x:v>
      </x:c>
      <x:c r="B50" s="59" t="n">
        <x:v>8.958923247580351</x:v>
      </x:c>
      <x:c r="C50" s="59" t="n">
        <x:v>6.081578852041093</x:v>
      </x:c>
      <x:c r="D50" s="59" t="n">
        <x:v>5.321064610501857</x:v>
      </x:c>
      <x:c r="E50" s="59" t="n">
        <x:v>2.6097116913116194</x:v>
      </x:c>
      <x:c r="F50" s="59" t="n">
        <x:v>6.428721598565081</x:v>
      </x:c>
      <x:c r="G50" s="59" t="n">
        <x:v>5.880000000000001</x:v>
      </x:c>
      <x:c r="H50" s="58" t="str">
        <x:v>modeled_latent_ensemble</x:v>
      </x:c>
    </x:row>
    <x:row r="51" ht="15" hidden="0" customHeight="1">
      <x:c r="A51" s="60" t="n">
        <x:v>46</x:v>
      </x:c>
      <x:c r="B51" s="60" t="n">
        <x:v>8.835067346876183</x:v>
      </x:c>
      <x:c r="C51" s="60" t="n">
        <x:v>5.972726534164876</x:v>
      </x:c>
      <x:c r="D51" s="60" t="n">
        <x:v>5.06253417512489</x:v>
      </x:c>
      <x:c r="E51" s="60" t="n">
        <x:v>3.303003694932527</x:v>
      </x:c>
      <x:c r="F51" s="60" t="n">
        <x:v>6.226668248901525</x:v>
      </x:c>
      <x:c r="G51" s="60" t="n">
        <x:v>5.880000000000001</x:v>
      </x:c>
      <x:c r="H51" s="57" t="str">
        <x:v>modeled_latent_ensemble</x:v>
      </x:c>
    </x:row>
    <x:row r="52" ht="15" hidden="0" customHeight="1">
      <x:c r="A52" s="59" t="n">
        <x:v>47</x:v>
      </x:c>
      <x:c r="B52" s="59" t="n">
        <x:v>8.997117629660163</x:v>
      </x:c>
      <x:c r="C52" s="59" t="n">
        <x:v>6.042332955138753</x:v>
      </x:c>
      <x:c r="D52" s="59" t="n">
        <x:v>5.085596572825573</x:v>
      </x:c>
      <x:c r="E52" s="59" t="n">
        <x:v>2.896993426801076</x:v>
      </x:c>
      <x:c r="F52" s="59" t="n">
        <x:v>6.377959415574437</x:v>
      </x:c>
      <x:c r="G52" s="59" t="n">
        <x:v>5.880000000000001</x:v>
      </x:c>
      <x:c r="H52" s="58" t="str">
        <x:v>modeled_latent_ensemble</x:v>
      </x:c>
    </x:row>
    <x:row r="53" ht="15" hidden="0" customHeight="1">
      <x:c r="A53" s="60" t="n">
        <x:v>48</x:v>
      </x:c>
      <x:c r="B53" s="60" t="n">
        <x:v>8.752100563945676</x:v>
      </x:c>
      <x:c r="C53" s="60" t="n">
        <x:v>6.007144389032585</x:v>
      </x:c>
      <x:c r="D53" s="60" t="n">
        <x:v>4.974565809287702</x:v>
      </x:c>
      <x:c r="E53" s="60" t="n">
        <x:v>3.2474738139772117</x:v>
      </x:c>
      <x:c r="F53" s="60" t="n">
        <x:v>6.418715423756826</x:v>
      </x:c>
      <x:c r="G53" s="60" t="n">
        <x:v>5.88</x:v>
      </x:c>
      <x:c r="H53" s="57" t="str">
        <x:v>modeled_latent_ensemble</x:v>
      </x:c>
    </x:row>
    <x:row r="54" ht="15" hidden="0" customHeight="1">
      <x:c r="A54" s="59" t="n">
        <x:v>49</x:v>
      </x:c>
      <x:c r="B54" s="59" t="n">
        <x:v>8.738266028188853</x:v>
      </x:c>
      <x:c r="C54" s="59" t="n">
        <x:v>5.938576388672341</x:v>
      </x:c>
      <x:c r="D54" s="59" t="n">
        <x:v>5.245374087140636</x:v>
      </x:c>
      <x:c r="E54" s="59" t="n">
        <x:v>3.06354715732118</x:v>
      </x:c>
      <x:c r="F54" s="59" t="n">
        <x:v>6.414236338676991</x:v>
      </x:c>
      <x:c r="G54" s="59" t="n">
        <x:v>5.880000000000001</x:v>
      </x:c>
      <x:c r="H54" s="58" t="str">
        <x:v>modeled_latent_ensemble</x:v>
      </x:c>
    </x:row>
    <x:row r="55" ht="15" hidden="0" customHeight="1">
      <x:c r="A55" s="60" t="n">
        <x:v>50</x:v>
      </x:c>
      <x:c r="B55" s="60" t="n">
        <x:v>8.86093651979921</x:v>
      </x:c>
      <x:c r="C55" s="60" t="n">
        <x:v>6.042665784489862</x:v>
      </x:c>
      <x:c r="D55" s="60" t="n">
        <x:v>5.07624441450405</x:v>
      </x:c>
      <x:c r="E55" s="60" t="n">
        <x:v>2.8440429759981347</x:v>
      </x:c>
      <x:c r="F55" s="60" t="n">
        <x:v>6.576110305208744</x:v>
      </x:c>
      <x:c r="G55" s="60" t="n">
        <x:v>5.880000000000001</x:v>
      </x:c>
      <x:c r="H55" s="57" t="str">
        <x:v>modeled_latent_ensemble</x:v>
      </x:c>
    </x:row>
    <x:row r="56" ht="15" hidden="0" customHeight="1">
      <x:c r="A56" s="59" t="n">
        <x:v>51</x:v>
      </x:c>
      <x:c r="B56" s="59" t="n">
        <x:v>8.995652468753976</x:v>
      </x:c>
      <x:c r="C56" s="59" t="n">
        <x:v>6.1316609695533595</x:v>
      </x:c>
      <x:c r="D56" s="59" t="n">
        <x:v>5.138987304846954</x:v>
      </x:c>
      <x:c r="E56" s="59" t="n">
        <x:v>2.783406463438356</x:v>
      </x:c>
      <x:c r="F56" s="59" t="n">
        <x:v>6.350292793407357</x:v>
      </x:c>
      <x:c r="G56" s="59" t="n">
        <x:v>5.880000000000001</x:v>
      </x:c>
      <x:c r="H56" s="58" t="str">
        <x:v>modeled_latent_ensemble</x:v>
      </x:c>
    </x:row>
    <x:row r="57" ht="15" hidden="0" customHeight="1">
      <x:c r="A57" s="60" t="n">
        <x:v>52</x:v>
      </x:c>
      <x:c r="B57" s="60" t="n">
        <x:v>8.928875196146755</x:v>
      </x:c>
      <x:c r="C57" s="60" t="n">
        <x:v>6.007291538968098</x:v>
      </x:c>
      <x:c r="D57" s="60" t="n">
        <x:v>5.026634004473449</x:v>
      </x:c>
      <x:c r="E57" s="60" t="n">
        <x:v>3.2739436929928467</x:v>
      </x:c>
      <x:c r="F57" s="60" t="n">
        <x:v>6.163255567418853</x:v>
      </x:c>
      <x:c r="G57" s="60" t="n">
        <x:v>5.880000000000001</x:v>
      </x:c>
      <x:c r="H57" s="57" t="str">
        <x:v>modeled_latent_ensemble</x:v>
      </x:c>
    </x:row>
    <x:row r="58" ht="15" hidden="0" customHeight="1">
      <x:c r="A58" s="59" t="n">
        <x:v>53</x:v>
      </x:c>
      <x:c r="B58" s="59" t="n">
        <x:v>8.765393414927548</x:v>
      </x:c>
      <x:c r="C58" s="59" t="n">
        <x:v>5.901147211756961</x:v>
      </x:c>
      <x:c r="D58" s="59" t="n">
        <x:v>4.964001450619487</x:v>
      </x:c>
      <x:c r="E58" s="59" t="n">
        <x:v>3.3832444736378577</x:v>
      </x:c>
      <x:c r="F58" s="59" t="n">
        <x:v>6.386213449058147</x:v>
      </x:c>
      <x:c r="G58" s="59" t="n">
        <x:v>5.880000000000001</x:v>
      </x:c>
      <x:c r="H58" s="58" t="str">
        <x:v>modeled_latent_ensemble</x:v>
      </x:c>
    </x:row>
    <x:row r="59" ht="15" hidden="0" customHeight="1">
      <x:c r="A59" s="60" t="n">
        <x:v>54</x:v>
      </x:c>
      <x:c r="B59" s="60" t="n">
        <x:v>8.96321598874688</x:v>
      </x:c>
      <x:c r="C59" s="60" t="n">
        <x:v>5.969762540820708</x:v>
      </x:c>
      <x:c r="D59" s="60" t="n">
        <x:v>5.037042392238728</x:v>
      </x:c>
      <x:c r="E59" s="60" t="n">
        <x:v>2.9092252145711397</x:v>
      </x:c>
      <x:c r="F59" s="60" t="n">
        <x:v>6.520753863622545</x:v>
      </x:c>
      <x:c r="G59" s="60" t="n">
        <x:v>5.880000000000001</x:v>
      </x:c>
      <x:c r="H59" s="57" t="str">
        <x:v>modeled_latent_ensemble</x:v>
      </x:c>
    </x:row>
    <x:row r="60" ht="15" hidden="0" customHeight="1">
      <x:c r="A60" s="59" t="n">
        <x:v>55</x:v>
      </x:c>
      <x:c r="B60" s="59" t="n">
        <x:v>8.836521307732683</x:v>
      </x:c>
      <x:c r="C60" s="59" t="n">
        <x:v>6.016130681818148</x:v>
      </x:c>
      <x:c r="D60" s="59" t="n">
        <x:v>4.9306305350439334</x:v>
      </x:c>
      <x:c r="E60" s="59" t="n">
        <x:v>3.1079485055288756</x:v>
      </x:c>
      <x:c r="F60" s="59" t="n">
        <x:v>6.5087689698763596</x:v>
      </x:c>
      <x:c r="G60" s="59" t="n">
        <x:v>5.880000000000001</x:v>
      </x:c>
      <x:c r="H60" s="58" t="str">
        <x:v>modeled_latent_ensemble</x:v>
      </x:c>
    </x:row>
    <x:row r="61" ht="15" hidden="0" customHeight="1">
      <x:c r="A61" s="60" t="n">
        <x:v>56</x:v>
      </x:c>
      <x:c r="B61" s="60" t="n">
        <x:v>8.967673513823566</x:v>
      </x:c>
      <x:c r="C61" s="60" t="n">
        <x:v>6.087433656340766</x:v>
      </x:c>
      <x:c r="D61" s="60" t="n">
        <x:v>4.945426608659292</x:v>
      </x:c>
      <x:c r="E61" s="60" t="n">
        <x:v>3.088916618086945</x:v>
      </x:c>
      <x:c r="F61" s="60" t="n">
        <x:v>6.310549603089432</x:v>
      </x:c>
      <x:c r="G61" s="60" t="n">
        <x:v>5.88</x:v>
      </x:c>
      <x:c r="H61" s="57" t="str">
        <x:v>modeled_latent_ensemble</x:v>
      </x:c>
    </x:row>
    <x:row r="62" ht="15" hidden="0" customHeight="1">
      <x:c r="A62" s="59" t="n">
        <x:v>57</x:v>
      </x:c>
      <x:c r="B62" s="59" t="n">
        <x:v>8.952936231121008</x:v>
      </x:c>
      <x:c r="C62" s="59" t="n">
        <x:v>5.99073604449875</x:v>
      </x:c>
      <x:c r="D62" s="59" t="n">
        <x:v>4.925771099529509</x:v>
      </x:c>
      <x:c r="E62" s="59" t="n">
        <x:v>2.970671677732077</x:v>
      </x:c>
      <x:c r="F62" s="59" t="n">
        <x:v>6.559884947118658</x:v>
      </x:c>
      <x:c r="G62" s="59" t="n">
        <x:v>5.880000000000001</x:v>
      </x:c>
      <x:c r="H62" s="58" t="str">
        <x:v>modeled_latent_ensemble</x:v>
      </x:c>
    </x:row>
    <x:row r="63" ht="15" hidden="0" customHeight="1">
      <x:c r="A63" s="60" t="n">
        <x:v>58</x:v>
      </x:c>
      <x:c r="B63" s="60" t="n">
        <x:v>8.857680407727342</x:v>
      </x:c>
      <x:c r="C63" s="60" t="n">
        <x:v>6.02581259099266</x:v>
      </x:c>
      <x:c r="D63" s="60" t="n">
        <x:v>4.96917756606314</x:v>
      </x:c>
      <x:c r="E63" s="60" t="n">
        <x:v>3.2998072730391272</x:v>
      </x:c>
      <x:c r="F63" s="60" t="n">
        <x:v>6.247522162177732</x:v>
      </x:c>
      <x:c r="G63" s="60" t="n">
        <x:v>5.88</x:v>
      </x:c>
      <x:c r="H63" s="57" t="str">
        <x:v>modeled_latent_ensemble</x:v>
      </x:c>
    </x:row>
    <x:row r="64" ht="15" hidden="0" customHeight="1">
      <x:c r="A64" s="59" t="n">
        <x:v>59</x:v>
      </x:c>
      <x:c r="B64" s="59" t="n">
        <x:v>8.814690374608098</x:v>
      </x:c>
      <x:c r="C64" s="59" t="n">
        <x:v>6.1319862103687734</x:v>
      </x:c>
      <x:c r="D64" s="59" t="n">
        <x:v>5.014433889379185</x:v>
      </x:c>
      <x:c r="E64" s="59" t="n">
        <x:v>2.94834325809491</x:v>
      </x:c>
      <x:c r="F64" s="59" t="n">
        <x:v>6.490546267549036</x:v>
      </x:c>
      <x:c r="G64" s="59" t="n">
        <x:v>5.88</x:v>
      </x:c>
      <x:c r="H64" s="58" t="str">
        <x:v>modeled_latent_ensemble</x:v>
      </x:c>
    </x:row>
    <x:row r="65" ht="15" hidden="0" customHeight="1">
      <x:c r="A65" s="60" t="n">
        <x:v>60</x:v>
      </x:c>
      <x:c r="B65" s="60" t="n">
        <x:v>8.887228942186983</x:v>
      </x:c>
      <x:c r="C65" s="60" t="n">
        <x:v>6.047942511965723</x:v>
      </x:c>
      <x:c r="D65" s="60" t="n">
        <x:v>5.300622587877137</x:v>
      </x:c>
      <x:c r="E65" s="60" t="n">
        <x:v>2.7785862358832794</x:v>
      </x:c>
      <x:c r="F65" s="60" t="n">
        <x:v>6.3856197220868784</x:v>
      </x:c>
      <x:c r="G65" s="60" t="n">
        <x:v>5.88</x:v>
      </x:c>
      <x:c r="H65" s="57" t="str">
        <x:v>modeled_latent_ensemble</x:v>
      </x:c>
    </x:row>
    <x:row r="66" ht="15" hidden="0" customHeight="1">
      <x:c r="A66" s="59" t="n">
        <x:v>61</x:v>
      </x:c>
      <x:c r="B66" s="59" t="n">
        <x:v>8.821017133668025</x:v>
      </x:c>
      <x:c r="C66" s="59" t="n">
        <x:v>5.992845878305581</x:v>
      </x:c>
      <x:c r="D66" s="59" t="n">
        <x:v>5.16884587438343</x:v>
      </x:c>
      <x:c r="E66" s="59" t="n">
        <x:v>3.0618064788238204</x:v>
      </x:c>
      <x:c r="F66" s="59" t="n">
        <x:v>6.355484634819144</x:v>
      </x:c>
      <x:c r="G66" s="59" t="n">
        <x:v>5.88</x:v>
      </x:c>
      <x:c r="H66" s="58" t="str">
        <x:v>modeled_latent_ensemble</x:v>
      </x:c>
    </x:row>
    <x:row r="67" ht="15" hidden="0" customHeight="1">
      <x:c r="A67" s="60" t="n">
        <x:v>62</x:v>
      </x:c>
      <x:c r="B67" s="60" t="n">
        <x:v>8.854498732568931</x:v>
      </x:c>
      <x:c r="C67" s="60" t="n">
        <x:v>5.970933157257302</x:v>
      </x:c>
      <x:c r="D67" s="60" t="n">
        <x:v>5.016293584689569</x:v>
      </x:c>
      <x:c r="E67" s="60" t="n">
        <x:v>3.0682063948282243</x:v>
      </x:c>
      <x:c r="F67" s="60" t="n">
        <x:v>6.490068130655975</x:v>
      </x:c>
      <x:c r="G67" s="60" t="n">
        <x:v>5.880000000000001</x:v>
      </x:c>
      <x:c r="H67" s="57" t="str">
        <x:v>modeled_latent_ensemble</x:v>
      </x:c>
    </x:row>
    <x:row r="68" ht="15" hidden="0" customHeight="1">
      <x:c r="A68" s="59" t="n">
        <x:v>63</x:v>
      </x:c>
      <x:c r="B68" s="59" t="n">
        <x:v>9.032986767561805</x:v>
      </x:c>
      <x:c r="C68" s="59" t="n">
        <x:v>6.117257231137886</x:v>
      </x:c>
      <x:c r="D68" s="59" t="n">
        <x:v>5.005033816772329</x:v>
      </x:c>
      <x:c r="E68" s="59" t="n">
        <x:v>2.7429554612926763</x:v>
      </x:c>
      <x:c r="F68" s="59" t="n">
        <x:v>6.501766723235304</x:v>
      </x:c>
      <x:c r="G68" s="59" t="n">
        <x:v>5.88</x:v>
      </x:c>
      <x:c r="H68" s="58" t="str">
        <x:v>modeled_latent_ensemble</x:v>
      </x:c>
    </x:row>
    <x:row r="69" ht="15" hidden="0" customHeight="1">
      <x:c r="A69" s="60" t="n">
        <x:v>64</x:v>
      </x:c>
      <x:c r="B69" s="60" t="n">
        <x:v>8.954523356164943</x:v>
      </x:c>
      <x:c r="C69" s="60" t="n">
        <x:v>6.022188661816536</x:v>
      </x:c>
      <x:c r="D69" s="60" t="n">
        <x:v>5.2773747755743585</x:v>
      </x:c>
      <x:c r="E69" s="60" t="n">
        <x:v>2.687761515262118</x:v>
      </x:c>
      <x:c r="F69" s="60" t="n">
        <x:v>6.458151691182047</x:v>
      </x:c>
      <x:c r="G69" s="60" t="n">
        <x:v>5.88</x:v>
      </x:c>
      <x:c r="H69" s="57" t="str">
        <x:v>modeled_latent_ensemble</x:v>
      </x:c>
    </x:row>
    <x:row r="70" ht="15" hidden="0" customHeight="1">
      <x:c r="A70" s="59" t="n">
        <x:v>65</x:v>
      </x:c>
      <x:c r="B70" s="59" t="n">
        <x:v>8.80154183056152</x:v>
      </x:c>
      <x:c r="C70" s="59" t="n">
        <x:v>5.873599201239675</x:v>
      </x:c>
      <x:c r="D70" s="59" t="n">
        <x:v>5.033672944156711</x:v>
      </x:c>
      <x:c r="E70" s="59" t="n">
        <x:v>3.325112777729336</x:v>
      </x:c>
      <x:c r="F70" s="59" t="n">
        <x:v>6.366073246312759</x:v>
      </x:c>
      <x:c r="G70" s="59" t="n">
        <x:v>5.880000000000001</x:v>
      </x:c>
      <x:c r="H70" s="58" t="str">
        <x:v>modeled_latent_ensemble</x:v>
      </x:c>
    </x:row>
    <x:row r="71" ht="15" hidden="0" customHeight="1">
      <x:c r="A71" s="60" t="n">
        <x:v>66</x:v>
      </x:c>
      <x:c r="B71" s="60" t="n">
        <x:v>8.831357256774371</x:v>
      </x:c>
      <x:c r="C71" s="60" t="n">
        <x:v>5.865409301003918</x:v>
      </x:c>
      <x:c r="D71" s="60" t="n">
        <x:v>4.9624071870011415</x:v>
      </x:c>
      <x:c r="E71" s="60" t="n">
        <x:v>3.363116960166248</x:v>
      </x:c>
      <x:c r="F71" s="60" t="n">
        <x:v>6.377709295054322</x:v>
      </x:c>
      <x:c r="G71" s="60" t="n">
        <x:v>5.88</x:v>
      </x:c>
      <x:c r="H71" s="57" t="str">
        <x:v>modeled_latent_ensemble</x:v>
      </x:c>
    </x:row>
    <x:row r="72" ht="15" hidden="0" customHeight="1">
      <x:c r="A72" s="59" t="n">
        <x:v>67</x:v>
      </x:c>
      <x:c r="B72" s="59" t="n">
        <x:v>8.721028017499394</x:v>
      </x:c>
      <x:c r="C72" s="59" t="n">
        <x:v>5.8942484483286</x:v>
      </x:c>
      <x:c r="D72" s="59" t="n">
        <x:v>5.01900218496278</x:v>
      </x:c>
      <x:c r="E72" s="59" t="n">
        <x:v>3.394782605439849</x:v>
      </x:c>
      <x:c r="F72" s="59" t="n">
        <x:v>6.370938743769378</x:v>
      </x:c>
      <x:c r="G72" s="59" t="n">
        <x:v>5.880000000000001</x:v>
      </x:c>
      <x:c r="H72" s="58" t="str">
        <x:v>modeled_latent_ensemble</x:v>
      </x:c>
    </x:row>
    <x:row r="73" ht="15" hidden="0" customHeight="1">
      <x:c r="A73" s="60" t="n">
        <x:v>68</x:v>
      </x:c>
      <x:c r="B73" s="60" t="n">
        <x:v>8.93598865901547</x:v>
      </x:c>
      <x:c r="C73" s="60" t="n">
        <x:v>6.096558109213377</x:v>
      </x:c>
      <x:c r="D73" s="60" t="n">
        <x:v>5.165381006347972</x:v>
      </x:c>
      <x:c r="E73" s="60" t="n">
        <x:v>2.841893247925663</x:v>
      </x:c>
      <x:c r="F73" s="60" t="n">
        <x:v>6.36017897749752</x:v>
      </x:c>
      <x:c r="G73" s="60" t="n">
        <x:v>5.88</x:v>
      </x:c>
      <x:c r="H73" s="57" t="str">
        <x:v>modeled_latent_ensemble</x:v>
      </x:c>
    </x:row>
    <x:row r="74" ht="15" hidden="0" customHeight="1">
      <x:c r="A74" s="59" t="n">
        <x:v>69</x:v>
      </x:c>
      <x:c r="B74" s="59" t="n">
        <x:v>9.008149213472342</x:v>
      </x:c>
      <x:c r="C74" s="59" t="n">
        <x:v>6.166924910859991</x:v>
      </x:c>
      <x:c r="D74" s="59" t="n">
        <x:v>5.034171864428972</x:v>
      </x:c>
      <x:c r="E74" s="59" t="n">
        <x:v>2.6962268761807913</x:v>
      </x:c>
      <x:c r="F74" s="59" t="n">
        <x:v>6.494527135057906</x:v>
      </x:c>
      <x:c r="G74" s="59" t="n">
        <x:v>5.88</x:v>
      </x:c>
      <x:c r="H74" s="58" t="str">
        <x:v>modeled_latent_ensemble</x:v>
      </x:c>
    </x:row>
    <x:row r="75" ht="15" hidden="0" customHeight="1">
      <x:c r="A75" s="60" t="n">
        <x:v>70</x:v>
      </x:c>
      <x:c r="B75" s="60" t="n">
        <x:v>8.934125584255595</x:v>
      </x:c>
      <x:c r="C75" s="60" t="n">
        <x:v>5.989941388828625</x:v>
      </x:c>
      <x:c r="D75" s="60" t="n">
        <x:v>5.07541684197654</x:v>
      </x:c>
      <x:c r="E75" s="60" t="n">
        <x:v>2.7133390565275977</x:v>
      </x:c>
      <x:c r="F75" s="60" t="n">
        <x:v>6.687177128411643</x:v>
      </x:c>
      <x:c r="G75" s="60" t="n">
        <x:v>5.880000000000001</x:v>
      </x:c>
      <x:c r="H75" s="57" t="str">
        <x:v>modeled_latent_ensemble</x:v>
      </x:c>
    </x:row>
    <x:row r="76" ht="15" hidden="0" customHeight="1">
      <x:c r="A76" s="59" t="n">
        <x:v>71</x:v>
      </x:c>
      <x:c r="B76" s="59" t="n">
        <x:v>8.73196310356935</x:v>
      </x:c>
      <x:c r="C76" s="59" t="n">
        <x:v>5.914306900116229</x:v>
      </x:c>
      <x:c r="D76" s="59" t="n">
        <x:v>5.161080129777343</x:v>
      </x:c>
      <x:c r="E76" s="59" t="n">
        <x:v>3.2040792352810614</x:v>
      </x:c>
      <x:c r="F76" s="59" t="n">
        <x:v>6.388570631256018</x:v>
      </x:c>
      <x:c r="G76" s="59" t="n">
        <x:v>5.88</x:v>
      </x:c>
      <x:c r="H76" s="58" t="str">
        <x:v>modeled_latent_ensemble</x:v>
      </x:c>
    </x:row>
    <x:row r="77" ht="15" hidden="0" customHeight="1">
      <x:c r="A77" s="60" t="n">
        <x:v>72</x:v>
      </x:c>
      <x:c r="B77" s="60" t="n">
        <x:v>8.92380625427977</x:v>
      </x:c>
      <x:c r="C77" s="60" t="n">
        <x:v>6.034085889436552</x:v>
      </x:c>
      <x:c r="D77" s="60" t="n">
        <x:v>5.04410043940404</x:v>
      </x:c>
      <x:c r="E77" s="60" t="n">
        <x:v>2.9314815822227067</x:v>
      </x:c>
      <x:c r="F77" s="60" t="n">
        <x:v>6.466525834656934</x:v>
      </x:c>
      <x:c r="G77" s="60" t="n">
        <x:v>5.880000000000001</x:v>
      </x:c>
      <x:c r="H77" s="57" t="str">
        <x:v>modeled_latent_ensemble</x:v>
      </x:c>
    </x:row>
    <x:row r="78" ht="15" hidden="0" customHeight="1">
      <x:c r="A78" s="59" t="n">
        <x:v>73</x:v>
      </x:c>
      <x:c r="B78" s="59" t="n">
        <x:v>8.944764065256361</x:v>
      </x:c>
      <x:c r="C78" s="59" t="n">
        <x:v>6.012951435642843</x:v>
      </x:c>
      <x:c r="D78" s="59" t="n">
        <x:v>5.142596069278954</x:v>
      </x:c>
      <x:c r="E78" s="59" t="n">
        <x:v>2.8766858880367248</x:v>
      </x:c>
      <x:c r="F78" s="59" t="n">
        <x:v>6.423002541785118</x:v>
      </x:c>
      <x:c r="G78" s="59" t="n">
        <x:v>5.880000000000001</x:v>
      </x:c>
      <x:c r="H78" s="58" t="str">
        <x:v>modeled_latent_ensemble</x:v>
      </x:c>
    </x:row>
    <x:row r="79" ht="15" hidden="0" customHeight="1">
      <x:c r="A79" s="60" t="n">
        <x:v>74</x:v>
      </x:c>
      <x:c r="B79" s="60" t="n">
        <x:v>8.917457207284903</x:v>
      </x:c>
      <x:c r="C79" s="60" t="n">
        <x:v>6.0904472648184305</x:v>
      </x:c>
      <x:c r="D79" s="60" t="n">
        <x:v>5.088481824319288</x:v>
      </x:c>
      <x:c r="E79" s="60" t="n">
        <x:v>2.7494059924866043</x:v>
      </x:c>
      <x:c r="F79" s="60" t="n">
        <x:v>6.554207711090775</x:v>
      </x:c>
      <x:c r="G79" s="60" t="n">
        <x:v>5.880000000000001</x:v>
      </x:c>
      <x:c r="H79" s="57" t="str">
        <x:v>modeled_latent_ensemble</x:v>
      </x:c>
    </x:row>
    <x:row r="80" ht="15" hidden="0" customHeight="1">
      <x:c r="A80" s="59" t="n">
        <x:v>75</x:v>
      </x:c>
      <x:c r="B80" s="59" t="n">
        <x:v>8.930919823515785</x:v>
      </x:c>
      <x:c r="C80" s="59" t="n">
        <x:v>6.134844026729212</x:v>
      </x:c>
      <x:c r="D80" s="59" t="n">
        <x:v>5.188422544785098</x:v>
      </x:c>
      <x:c r="E80" s="59" t="n">
        <x:v>2.7781500420128244</x:v>
      </x:c>
      <x:c r="F80" s="59" t="n">
        <x:v>6.367663562957082</x:v>
      </x:c>
      <x:c r="G80" s="59" t="n">
        <x:v>5.880000000000001</x:v>
      </x:c>
      <x:c r="H80" s="58" t="str">
        <x:v>modeled_latent_ensemble</x:v>
      </x:c>
    </x:row>
    <x:row r="81" ht="15" hidden="0" customHeight="1">
      <x:c r="A81" s="60" t="n">
        <x:v>76</x:v>
      </x:c>
      <x:c r="B81" s="60" t="n">
        <x:v>8.943487097235895</x:v>
      </x:c>
      <x:c r="C81" s="60" t="n">
        <x:v>6.017478237743103</x:v>
      </x:c>
      <x:c r="D81" s="60" t="n">
        <x:v>5.188466497114852</x:v>
      </x:c>
      <x:c r="E81" s="60" t="n">
        <x:v>2.759549379689173</x:v>
      </x:c>
      <x:c r="F81" s="60" t="n">
        <x:v>6.491018788216977</x:v>
      </x:c>
      <x:c r="G81" s="60" t="n">
        <x:v>5.88</x:v>
      </x:c>
      <x:c r="H81" s="57" t="str">
        <x:v>modeled_latent_ensemble</x:v>
      </x:c>
    </x:row>
    <x:row r="82" ht="15" hidden="0" customHeight="1">
      <x:c r="A82" s="59" t="n">
        <x:v>77</x:v>
      </x:c>
      <x:c r="B82" s="59" t="n">
        <x:v>8.800720477616274</x:v>
      </x:c>
      <x:c r="C82" s="59" t="n">
        <x:v>5.872147083426515</x:v>
      </x:c>
      <x:c r="D82" s="59" t="n">
        <x:v>4.904677138896085</x:v>
      </x:c>
      <x:c r="E82" s="59" t="n">
        <x:v>3.493618023629401</x:v>
      </x:c>
      <x:c r="F82" s="59" t="n">
        <x:v>6.328837276431726</x:v>
      </x:c>
      <x:c r="G82" s="59" t="n">
        <x:v>5.880000000000001</x:v>
      </x:c>
      <x:c r="H82" s="58" t="str">
        <x:v>modeled_latent_ensemble</x:v>
      </x:c>
    </x:row>
    <x:row r="83" ht="15" hidden="0" customHeight="1">
      <x:c r="A83" s="60" t="n">
        <x:v>78</x:v>
      </x:c>
      <x:c r="B83" s="60" t="n">
        <x:v>8.83692781646627</x:v>
      </x:c>
      <x:c r="C83" s="60" t="n">
        <x:v>5.954349861019361</x:v>
      </x:c>
      <x:c r="D83" s="60" t="n">
        <x:v>5.070160614514449</x:v>
      </x:c>
      <x:c r="E83" s="60" t="n">
        <x:v>2.9670461608232372</x:v>
      </x:c>
      <x:c r="F83" s="60" t="n">
        <x:v>6.571515547176684</x:v>
      </x:c>
      <x:c r="G83" s="60" t="n">
        <x:v>5.880000000000001</x:v>
      </x:c>
      <x:c r="H83" s="57" t="str">
        <x:v>modeled_latent_ensemble</x:v>
      </x:c>
    </x:row>
    <x:row r="84" ht="15" hidden="0" customHeight="1">
      <x:c r="A84" s="59" t="n">
        <x:v>79</x:v>
      </x:c>
      <x:c r="B84" s="59" t="n">
        <x:v>8.861264768993005</x:v>
      </x:c>
      <x:c r="C84" s="59" t="n">
        <x:v>6.035575157684459</x:v>
      </x:c>
      <x:c r="D84" s="59" t="n">
        <x:v>5.163663874470327</x:v>
      </x:c>
      <x:c r="E84" s="59" t="n">
        <x:v>2.708883512210222</x:v>
      </x:c>
      <x:c r="F84" s="59" t="n">
        <x:v>6.630612686641989</x:v>
      </x:c>
      <x:c r="G84" s="59" t="n">
        <x:v>5.88</x:v>
      </x:c>
      <x:c r="H84" s="58" t="str">
        <x:v>modeled_latent_ensemble</x:v>
      </x:c>
    </x:row>
    <x:row r="85" ht="15" hidden="0" customHeight="1">
      <x:c r="A85" s="60" t="n">
        <x:v>80</x:v>
      </x:c>
      <x:c r="B85" s="60" t="n">
        <x:v>8.859580129284723</x:v>
      </x:c>
      <x:c r="C85" s="60" t="n">
        <x:v>6.19777859224132</x:v>
      </x:c>
      <x:c r="D85" s="60" t="n">
        <x:v>5.094959360310722</x:v>
      </x:c>
      <x:c r="E85" s="60" t="n">
        <x:v>2.759470195582184</x:v>
      </x:c>
      <x:c r="F85" s="60" t="n">
        <x:v>6.4882117225810525</x:v>
      </x:c>
      <x:c r="G85" s="60" t="n">
        <x:v>5.880000000000001</x:v>
      </x:c>
      <x:c r="H85" s="57" t="str">
        <x:v>modeled_latent_ensemble</x:v>
      </x:c>
    </x:row>
    <x:row r="86" ht="15" hidden="0" customHeight="1">
      <x:c r="A86" s="59" t="n">
        <x:v>81</x:v>
      </x:c>
      <x:c r="B86" s="59" t="n">
        <x:v>8.747833495922535</x:v>
      </x:c>
      <x:c r="C86" s="59" t="n">
        <x:v>5.911688030529884</x:v>
      </x:c>
      <x:c r="D86" s="59" t="n">
        <x:v>4.925974432248204</x:v>
      </x:c>
      <x:c r="E86" s="59" t="n">
        <x:v>3.417172620965473</x:v>
      </x:c>
      <x:c r="F86" s="59" t="n">
        <x:v>6.397331420333904</x:v>
      </x:c>
      <x:c r="G86" s="59" t="n">
        <x:v>5.88</x:v>
      </x:c>
      <x:c r="H86" s="58" t="str">
        <x:v>modeled_latent_ensemble</x:v>
      </x:c>
    </x:row>
    <x:row r="87" ht="15" hidden="0" customHeight="1">
      <x:c r="A87" s="60" t="n">
        <x:v>82</x:v>
      </x:c>
      <x:c r="B87" s="60" t="n">
        <x:v>8.869283711471807</x:v>
      </x:c>
      <x:c r="C87" s="60" t="n">
        <x:v>6.1734606012349715</x:v>
      </x:c>
      <x:c r="D87" s="60" t="n">
        <x:v>4.846168970612498</x:v>
      </x:c>
      <x:c r="E87" s="60" t="n">
        <x:v>3.1249102100037183</x:v>
      </x:c>
      <x:c r="F87" s="60" t="n">
        <x:v>6.386176506677006</x:v>
      </x:c>
      <x:c r="G87" s="60" t="n">
        <x:v>5.880000000000001</x:v>
      </x:c>
      <x:c r="H87" s="57" t="str">
        <x:v>modeled_latent_ensemble</x:v>
      </x:c>
    </x:row>
    <x:row r="88" ht="15" hidden="0" customHeight="1">
      <x:c r="A88" s="59" t="n">
        <x:v>83</x:v>
      </x:c>
      <x:c r="B88" s="59" t="n">
        <x:v>8.896468484735058</x:v>
      </x:c>
      <x:c r="C88" s="59" t="n">
        <x:v>5.958454624283283</x:v>
      </x:c>
      <x:c r="D88" s="59" t="n">
        <x:v>4.843742547372258</x:v>
      </x:c>
      <x:c r="E88" s="59" t="n">
        <x:v>3.2868587659134647</x:v>
      </x:c>
      <x:c r="F88" s="59" t="n">
        <x:v>6.414475577695937</x:v>
      </x:c>
      <x:c r="G88" s="59" t="n">
        <x:v>5.88</x:v>
      </x:c>
      <x:c r="H88" s="58" t="str">
        <x:v>modeled_latent_ensemble</x:v>
      </x:c>
    </x:row>
    <x:row r="89" ht="15" hidden="0" customHeight="1">
      <x:c r="A89" s="60" t="n">
        <x:v>84</x:v>
      </x:c>
      <x:c r="B89" s="60" t="n">
        <x:v>8.76915631932954</x:v>
      </x:c>
      <x:c r="C89" s="60" t="n">
        <x:v>5.900770271438108</x:v>
      </x:c>
      <x:c r="D89" s="60" t="n">
        <x:v>5.006520152910914</x:v>
      </x:c>
      <x:c r="E89" s="60" t="n">
        <x:v>3.1340130248313325</x:v>
      </x:c>
      <x:c r="F89" s="60" t="n">
        <x:v>6.5895402314901075</x:v>
      </x:c>
      <x:c r="G89" s="60" t="n">
        <x:v>5.880000000000001</x:v>
      </x:c>
      <x:c r="H89" s="57" t="str">
        <x:v>modeled_latent_ensemble</x:v>
      </x:c>
    </x:row>
    <x:row r="90" ht="15" hidden="0" customHeight="1">
      <x:c r="A90" s="59" t="n">
        <x:v>85</x:v>
      </x:c>
      <x:c r="B90" s="59" t="n">
        <x:v>8.902772006936495</x:v>
      </x:c>
      <x:c r="C90" s="59" t="n">
        <x:v>5.985018074472443</x:v>
      </x:c>
      <x:c r="D90" s="59" t="n">
        <x:v>5.021025896417568</x:v>
      </x:c>
      <x:c r="E90" s="59" t="n">
        <x:v>2.8705215038603806</x:v>
      </x:c>
      <x:c r="F90" s="59" t="n">
        <x:v>6.620662518313117</x:v>
      </x:c>
      <x:c r="G90" s="59" t="n">
        <x:v>5.880000000000001</x:v>
      </x:c>
      <x:c r="H90" s="58" t="str">
        <x:v>modeled_latent_ensemble</x:v>
      </x:c>
    </x:row>
    <x:row r="91" ht="15" hidden="0" customHeight="1">
      <x:c r="A91" s="60" t="n">
        <x:v>86</x:v>
      </x:c>
      <x:c r="B91" s="60" t="n">
        <x:v>8.862662377636319</x:v>
      </x:c>
      <x:c r="C91" s="60" t="n">
        <x:v>5.9964474323713235</x:v>
      </x:c>
      <x:c r="D91" s="60" t="n">
        <x:v>5.082152773804605</x:v>
      </x:c>
      <x:c r="E91" s="60" t="n">
        <x:v>2.7606776073233568</x:v>
      </x:c>
      <x:c r="F91" s="60" t="n">
        <x:v>6.698059808864397</x:v>
      </x:c>
      <x:c r="G91" s="60" t="n">
        <x:v>5.88</x:v>
      </x:c>
      <x:c r="H91" s="57" t="str">
        <x:v>modeled_latent_ensemble</x:v>
      </x:c>
    </x:row>
    <x:row r="92" ht="15" hidden="0" customHeight="1">
      <x:c r="A92" s="59" t="n">
        <x:v>87</x:v>
      </x:c>
      <x:c r="B92" s="59" t="n">
        <x:v>8.9286555926879</x:v>
      </x:c>
      <x:c r="C92" s="59" t="n">
        <x:v>6.0680401214726425</x:v>
      </x:c>
      <x:c r="D92" s="59" t="n">
        <x:v>5.189217379869667</x:v>
      </x:c>
      <x:c r="E92" s="59" t="n">
        <x:v>2.892243944781802</x:v>
      </x:c>
      <x:c r="F92" s="59" t="n">
        <x:v>6.32184296118799</x:v>
      </x:c>
      <x:c r="G92" s="59" t="n">
        <x:v>5.88</x:v>
      </x:c>
      <x:c r="H92" s="58" t="str">
        <x:v>modeled_latent_ensemble</x:v>
      </x:c>
    </x:row>
    <x:row r="93" ht="15" hidden="0" customHeight="1">
      <x:c r="A93" s="60" t="n">
        <x:v>88</x:v>
      </x:c>
      <x:c r="B93" s="60" t="n">
        <x:v>8.955964396291854</x:v>
      </x:c>
      <x:c r="C93" s="60" t="n">
        <x:v>6.107246530355534</x:v>
      </x:c>
      <x:c r="D93" s="60" t="n">
        <x:v>4.975231444530759</x:v>
      </x:c>
      <x:c r="E93" s="60" t="n">
        <x:v>3.1191874576580196</x:v>
      </x:c>
      <x:c r="F93" s="60" t="n">
        <x:v>6.242370171163834</x:v>
      </x:c>
      <x:c r="G93" s="60" t="n">
        <x:v>5.88</x:v>
      </x:c>
      <x:c r="H93" s="57" t="str">
        <x:v>modeled_latent_ensemble</x:v>
      </x:c>
    </x:row>
    <x:row r="94" ht="15" hidden="0" customHeight="1">
      <x:c r="A94" s="59" t="n">
        <x:v>89</x:v>
      </x:c>
      <x:c r="B94" s="59" t="n">
        <x:v>8.752359260637704</x:v>
      </x:c>
      <x:c r="C94" s="59" t="n">
        <x:v>5.958171945259938</x:v>
      </x:c>
      <x:c r="D94" s="59" t="n">
        <x:v>5.227806509641342</x:v>
      </x:c>
      <x:c r="E94" s="59" t="n">
        <x:v>2.835741927690089</x:v>
      </x:c>
      <x:c r="F94" s="59" t="n">
        <x:v>6.625920356770929</x:v>
      </x:c>
      <x:c r="G94" s="59" t="n">
        <x:v>5.880000000000001</x:v>
      </x:c>
      <x:c r="H94" s="58" t="str">
        <x:v>modeled_latent_ensemble</x:v>
      </x:c>
    </x:row>
    <x:row r="95" ht="15" hidden="0" customHeight="1">
      <x:c r="A95" s="60" t="n">
        <x:v>90</x:v>
      </x:c>
      <x:c r="B95" s="60" t="n">
        <x:v>8.743598381868285</x:v>
      </x:c>
      <x:c r="C95" s="60" t="n">
        <x:v>5.955477512213978</x:v>
      </x:c>
      <x:c r="D95" s="60" t="n">
        <x:v>5.06087325747588</x:v>
      </x:c>
      <x:c r="E95" s="60" t="n">
        <x:v>3.2194344092061353</x:v>
      </x:c>
      <x:c r="F95" s="60" t="n">
        <x:v>6.420616439235722</x:v>
      </x:c>
      <x:c r="G95" s="60" t="n">
        <x:v>5.88</x:v>
      </x:c>
      <x:c r="H95" s="57" t="str">
        <x:v>modeled_latent_ensemble</x:v>
      </x:c>
    </x:row>
    <x:row r="96" ht="15" hidden="0" customHeight="1">
      <x:c r="A96" s="59" t="n">
        <x:v>91</x:v>
      </x:c>
      <x:c r="B96" s="59" t="n">
        <x:v>8.9666533504469</x:v>
      </x:c>
      <x:c r="C96" s="59" t="n">
        <x:v>5.997203063553085</x:v>
      </x:c>
      <x:c r="D96" s="59" t="n">
        <x:v>4.889270076829975</x:v>
      </x:c>
      <x:c r="E96" s="59" t="n">
        <x:v>3.195550544848248</x:v>
      </x:c>
      <x:c r="F96" s="59" t="n">
        <x:v>6.351322964321792</x:v>
      </x:c>
      <x:c r="G96" s="59" t="n">
        <x:v>5.880000000000001</x:v>
      </x:c>
      <x:c r="H96" s="58" t="str">
        <x:v>modeled_latent_ensemble</x:v>
      </x:c>
    </x:row>
    <x:row r="97" ht="15" hidden="0" customHeight="1">
      <x:c r="A97" s="60" t="n">
        <x:v>92</x:v>
      </x:c>
      <x:c r="B97" s="60" t="n">
        <x:v>8.910110383000207</x:v>
      </x:c>
      <x:c r="C97" s="60" t="n">
        <x:v>6.081176720465338</x:v>
      </x:c>
      <x:c r="D97" s="60" t="n">
        <x:v>5.144212652201073</x:v>
      </x:c>
      <x:c r="E97" s="60" t="n">
        <x:v>2.915266618581956</x:v>
      </x:c>
      <x:c r="F97" s="60" t="n">
        <x:v>6.3492336257514275</x:v>
      </x:c>
      <x:c r="G97" s="60" t="n">
        <x:v>5.880000000000001</x:v>
      </x:c>
      <x:c r="H97" s="57" t="str">
        <x:v>modeled_latent_ensemble</x:v>
      </x:c>
    </x:row>
    <x:row r="98" ht="15" hidden="0" customHeight="1">
      <x:c r="A98" s="59" t="n">
        <x:v>93</x:v>
      </x:c>
      <x:c r="B98" s="59" t="n">
        <x:v>8.85098206997425</x:v>
      </x:c>
      <x:c r="C98" s="59" t="n">
        <x:v>6.157640290196311</x:v>
      </x:c>
      <x:c r="D98" s="59" t="n">
        <x:v>5.056441512977205</x:v>
      </x:c>
      <x:c r="E98" s="59" t="n">
        <x:v>2.6951138250797375</x:v>
      </x:c>
      <x:c r="F98" s="59" t="n">
        <x:v>6.639822301772496</x:v>
      </x:c>
      <x:c r="G98" s="59" t="n">
        <x:v>5.880000000000001</x:v>
      </x:c>
      <x:c r="H98" s="58" t="str">
        <x:v>modeled_latent_ensemble</x:v>
      </x:c>
    </x:row>
    <x:row r="99" ht="15" hidden="0" customHeight="1">
      <x:c r="A99" s="60" t="n">
        <x:v>94</x:v>
      </x:c>
      <x:c r="B99" s="60" t="n">
        <x:v>8.86887436556456</x:v>
      </x:c>
      <x:c r="C99" s="60" t="n">
        <x:v>5.90496134560329</x:v>
      </x:c>
      <x:c r="D99" s="60" t="n">
        <x:v>4.874800247049002</x:v>
      </x:c>
      <x:c r="E99" s="60" t="n">
        <x:v>3.2613054117840616</x:v>
      </x:c>
      <x:c r="F99" s="60" t="n">
        <x:v>6.490058629999088</x:v>
      </x:c>
      <x:c r="G99" s="60" t="n">
        <x:v>5.88</x:v>
      </x:c>
      <x:c r="H99" s="57" t="str">
        <x:v>modeled_latent_ensemble</x:v>
      </x:c>
    </x:row>
    <x:row r="100" ht="15" hidden="0" customHeight="1">
      <x:c r="A100" s="59" t="n">
        <x:v>95</x:v>
      </x:c>
      <x:c r="B100" s="59" t="n">
        <x:v>8.816593075313357</x:v>
      </x:c>
      <x:c r="C100" s="59" t="n">
        <x:v>6.024743293166093</x:v>
      </x:c>
      <x:c r="D100" s="59" t="n">
        <x:v>5.118077897648384</x:v>
      </x:c>
      <x:c r="E100" s="59" t="n">
        <x:v>2.9983960643333325</x:v>
      </x:c>
      <x:c r="F100" s="59" t="n">
        <x:v>6.442189669538836</x:v>
      </x:c>
      <x:c r="G100" s="59" t="n">
        <x:v>5.88</x:v>
      </x:c>
      <x:c r="H100" s="58" t="str">
        <x:v>modeled_latent_ensemble</x:v>
      </x:c>
    </x:row>
    <x:row r="101" ht="15" hidden="0" customHeight="1">
      <x:c r="A101" s="60" t="n">
        <x:v>96</x:v>
      </x:c>
      <x:c r="B101" s="60" t="n">
        <x:v>8.959419952402062</x:v>
      </x:c>
      <x:c r="C101" s="60" t="n">
        <x:v>6.043527208025742</x:v>
      </x:c>
      <x:c r="D101" s="60" t="n">
        <x:v>4.987148927762008</x:v>
      </x:c>
      <x:c r="E101" s="60" t="n">
        <x:v>3.014133571121982</x:v>
      </x:c>
      <x:c r="F101" s="60" t="n">
        <x:v>6.395770340688207</x:v>
      </x:c>
      <x:c r="G101" s="60" t="n">
        <x:v>5.88</x:v>
      </x:c>
      <x:c r="H101" s="57" t="str">
        <x:v>modeled_latent_ensemble</x:v>
      </x:c>
    </x:row>
    <x:row r="102" ht="15" hidden="0" customHeight="1">
      <x:c r="A102" s="59" t="n">
        <x:v>97</x:v>
      </x:c>
      <x:c r="B102" s="59" t="n">
        <x:v>8.81576252750522</x:v>
      </x:c>
      <x:c r="C102" s="59" t="n">
        <x:v>6.04169884535124</x:v>
      </x:c>
      <x:c r="D102" s="59" t="n">
        <x:v>5.129234795457005</x:v>
      </x:c>
      <x:c r="E102" s="59" t="n">
        <x:v>2.9854580401527806</x:v>
      </x:c>
      <x:c r="F102" s="59" t="n">
        <x:v>6.427845791533758</x:v>
      </x:c>
      <x:c r="G102" s="59" t="n">
        <x:v>5.880000000000001</x:v>
      </x:c>
      <x:c r="H102" s="58" t="str">
        <x:v>modeled_latent_ensemble</x:v>
      </x:c>
    </x:row>
    <x:row r="103" ht="15" hidden="0" customHeight="1">
      <x:c r="A103" s="60" t="n">
        <x:v>98</x:v>
      </x:c>
      <x:c r="B103" s="60" t="n">
        <x:v>8.965579831650999</x:v>
      </x:c>
      <x:c r="C103" s="60" t="n">
        <x:v>6.196833272538833</x:v>
      </x:c>
      <x:c r="D103" s="60" t="n">
        <x:v>5.159602524689825</x:v>
      </x:c>
      <x:c r="E103" s="60" t="n">
        <x:v>2.792738178550491</x:v>
      </x:c>
      <x:c r="F103" s="60" t="n">
        <x:v>6.285246192569852</x:v>
      </x:c>
      <x:c r="G103" s="60" t="n">
        <x:v>5.88</x:v>
      </x:c>
      <x:c r="H103" s="57" t="str">
        <x:v>modeled_latent_ensemble</x:v>
      </x:c>
    </x:row>
    <x:row r="104" ht="15" hidden="0" customHeight="1">
      <x:c r="A104" s="59" t="n">
        <x:v>99</x:v>
      </x:c>
      <x:c r="B104" s="59" t="n">
        <x:v>8.868430396078692</x:v>
      </x:c>
      <x:c r="C104" s="59" t="n">
        <x:v>5.878911935835408</x:v>
      </x:c>
      <x:c r="D104" s="59" t="n">
        <x:v>5.0418351044263705</x:v>
      </x:c>
      <x:c r="E104" s="59" t="n">
        <x:v>3.1357264705120684</x:v>
      </x:c>
      <x:c r="F104" s="59" t="n">
        <x:v>6.475096093147463</x:v>
      </x:c>
      <x:c r="G104" s="59" t="n">
        <x:v>5.880000000000001</x:v>
      </x:c>
      <x:c r="H104" s="58" t="str">
        <x:v>modeled_latent_ensemble</x:v>
      </x:c>
    </x:row>
    <x:row r="105" ht="15" hidden="0" customHeight="1">
      <x:c r="A105" s="60" t="n">
        <x:v>100</x:v>
      </x:c>
      <x:c r="B105" s="60" t="n">
        <x:v>8.999343247829032</x:v>
      </x:c>
      <x:c r="C105" s="60" t="n">
        <x:v>6.14137358833073</x:v>
      </x:c>
      <x:c r="D105" s="60" t="n">
        <x:v>5.235293610844746</x:v>
      </x:c>
      <x:c r="E105" s="60" t="n">
        <x:v>2.546432530995529</x:v>
      </x:c>
      <x:c r="F105" s="60" t="n">
        <x:v>6.4775570219999645</x:v>
      </x:c>
      <x:c r="G105" s="60" t="n">
        <x:v>5.88</x:v>
      </x:c>
      <x:c r="H105" s="57" t="str">
        <x:v>modeled_latent_ensemble</x:v>
      </x:c>
    </x:row>
    <x:row r="106" ht="15" hidden="0" customHeight="1">
      <x:c r="A106" s="59" t="n">
        <x:v>101</x:v>
      </x:c>
      <x:c r="B106" s="59" t="n">
        <x:v>8.961089193186227</x:v>
      </x:c>
      <x:c r="C106" s="59" t="n">
        <x:v>6.068100221041006</x:v>
      </x:c>
      <x:c r="D106" s="59" t="n">
        <x:v>5.174670746017029</x:v>
      </x:c>
      <x:c r="E106" s="59" t="n">
        <x:v>2.9091845730237957</x:v>
      </x:c>
      <x:c r="F106" s="59" t="n">
        <x:v>6.286955266731942</x:v>
      </x:c>
      <x:c r="G106" s="59" t="n">
        <x:v>5.88</x:v>
      </x:c>
      <x:c r="H106" s="58" t="str">
        <x:v>modeled_latent_ensemble</x:v>
      </x:c>
    </x:row>
    <x:row r="107" ht="15" hidden="0" customHeight="1">
      <x:c r="A107" s="60" t="n">
        <x:v>102</x:v>
      </x:c>
      <x:c r="B107" s="60" t="n">
        <x:v>8.874792281153734</x:v>
      </x:c>
      <x:c r="C107" s="60" t="n">
        <x:v>6.0846074399393535</x:v>
      </x:c>
      <x:c r="D107" s="60" t="n">
        <x:v>5.005030385714871</x:v>
      </x:c>
      <x:c r="E107" s="60" t="n">
        <x:v>2.9736529953207635</x:v>
      </x:c>
      <x:c r="F107" s="60" t="n">
        <x:v>6.46191689787128</x:v>
      </x:c>
      <x:c r="G107" s="60" t="n">
        <x:v>5.880000000000001</x:v>
      </x:c>
      <x:c r="H107" s="57" t="str">
        <x:v>modeled_latent_ensemble</x:v>
      </x:c>
    </x:row>
    <x:row r="108" ht="15" hidden="0" customHeight="1">
      <x:c r="A108" s="59" t="n">
        <x:v>103</x:v>
      </x:c>
      <x:c r="B108" s="59" t="n">
        <x:v>8.938703143931997</x:v>
      </x:c>
      <x:c r="C108" s="59" t="n">
        <x:v>6.079705030888681</x:v>
      </x:c>
      <x:c r="D108" s="59" t="n">
        <x:v>5.211214436101881</x:v>
      </x:c>
      <x:c r="E108" s="59" t="n">
        <x:v>2.798559309579481</x:v>
      </x:c>
      <x:c r="F108" s="59" t="n">
        <x:v>6.371818079497961</x:v>
      </x:c>
      <x:c r="G108" s="59" t="n">
        <x:v>5.88</x:v>
      </x:c>
      <x:c r="H108" s="58" t="str">
        <x:v>modeled_latent_ensemble</x:v>
      </x:c>
    </x:row>
    <x:row r="109" ht="15" hidden="0" customHeight="1">
      <x:c r="A109" s="60" t="n">
        <x:v>104</x:v>
      </x:c>
      <x:c r="B109" s="60" t="n">
        <x:v>8.881421329354765</x:v>
      </x:c>
      <x:c r="C109" s="60" t="n">
        <x:v>6.018708401977563</x:v>
      </x:c>
      <x:c r="D109" s="60" t="n">
        <x:v>5.175891230540292</x:v>
      </x:c>
      <x:c r="E109" s="60" t="n">
        <x:v>2.813775929310066</x:v>
      </x:c>
      <x:c r="F109" s="60" t="n">
        <x:v>6.510203108817315</x:v>
      </x:c>
      <x:c r="G109" s="60" t="n">
        <x:v>5.88</x:v>
      </x:c>
      <x:c r="H109" s="57" t="str">
        <x:v>modeled_latent_ensemble</x:v>
      </x:c>
    </x:row>
    <x:row r="110" ht="15" hidden="0" customHeight="1">
      <x:c r="A110" s="59" t="n">
        <x:v>105</x:v>
      </x:c>
      <x:c r="B110" s="59" t="n">
        <x:v>8.887024182978</x:v>
      </x:c>
      <x:c r="C110" s="59" t="n">
        <x:v>6.133376605280468</x:v>
      </x:c>
      <x:c r="D110" s="59" t="n">
        <x:v>5.153071538636107</x:v>
      </x:c>
      <x:c r="E110" s="59" t="n">
        <x:v>2.666004789878349</x:v>
      </x:c>
      <x:c r="F110" s="59" t="n">
        <x:v>6.56052288322708</x:v>
      </x:c>
      <x:c r="G110" s="59" t="n">
        <x:v>5.880000000000001</x:v>
      </x:c>
      <x:c r="H110" s="58" t="str">
        <x:v>modeled_latent_ensemble</x:v>
      </x:c>
    </x:row>
    <x:row r="111" ht="15" hidden="0" customHeight="1">
      <x:c r="A111" s="60" t="n">
        <x:v>106</x:v>
      </x:c>
      <x:c r="B111" s="60" t="n">
        <x:v>8.749848424270919</x:v>
      </x:c>
      <x:c r="C111" s="60" t="n">
        <x:v>5.975638644024782</x:v>
      </x:c>
      <x:c r="D111" s="60" t="n">
        <x:v>5.244308733948917</x:v>
      </x:c>
      <x:c r="E111" s="60" t="n">
        <x:v>2.859478373801309</x:v>
      </x:c>
      <x:c r="F111" s="60" t="n">
        <x:v>6.570725823954075</x:v>
      </x:c>
      <x:c r="G111" s="60" t="n">
        <x:v>5.880000000000001</x:v>
      </x:c>
      <x:c r="H111" s="57" t="str">
        <x:v>modeled_latent_ensemble</x:v>
      </x:c>
    </x:row>
    <x:row r="112" ht="15" hidden="0" customHeight="1">
      <x:c r="A112" s="59" t="n">
        <x:v>107</x:v>
      </x:c>
      <x:c r="B112" s="59" t="n">
        <x:v>8.858917743414212</x:v>
      </x:c>
      <x:c r="C112" s="59" t="n">
        <x:v>6.093428740540598</x:v>
      </x:c>
      <x:c r="D112" s="59" t="n">
        <x:v>5.013121588716598</x:v>
      </x:c>
      <x:c r="E112" s="59" t="n">
        <x:v>2.9454981556814834</x:v>
      </x:c>
      <x:c r="F112" s="59" t="n">
        <x:v>6.48903377164711</x:v>
      </x:c>
      <x:c r="G112" s="59" t="n">
        <x:v>5.88</x:v>
      </x:c>
      <x:c r="H112" s="58" t="str">
        <x:v>modeled_latent_ensemble</x:v>
      </x:c>
    </x:row>
    <x:row r="113" ht="15" hidden="0" customHeight="1">
      <x:c r="A113" s="60" t="n">
        <x:v>108</x:v>
      </x:c>
      <x:c r="B113" s="60" t="n">
        <x:v>8.956737433056233</x:v>
      </x:c>
      <x:c r="C113" s="60" t="n">
        <x:v>6.0320103018143705</x:v>
      </x:c>
      <x:c r="D113" s="60" t="n">
        <x:v>5.0856289588390275</x:v>
      </x:c>
      <x:c r="E113" s="60" t="n">
        <x:v>2.8980062136330793</x:v>
      </x:c>
      <x:c r="F113" s="60" t="n">
        <x:v>6.427617092657291</x:v>
      </x:c>
      <x:c r="G113" s="60" t="n">
        <x:v>5.88</x:v>
      </x:c>
      <x:c r="H113" s="57" t="str">
        <x:v>modeled_latent_ensemble</x:v>
      </x:c>
    </x:row>
    <x:row r="114" ht="15" hidden="0" customHeight="1">
      <x:c r="A114" s="59" t="n">
        <x:v>109</x:v>
      </x:c>
      <x:c r="B114" s="59" t="n">
        <x:v>8.890367754300344</x:v>
      </x:c>
      <x:c r="C114" s="59" t="n">
        <x:v>6.065080094395972</x:v>
      </x:c>
      <x:c r="D114" s="59" t="n">
        <x:v>5.153676712459547</x:v>
      </x:c>
      <x:c r="E114" s="59" t="n">
        <x:v>2.7805719364117287</x:v>
      </x:c>
      <x:c r="F114" s="59" t="n">
        <x:v>6.51030350243241</x:v>
      </x:c>
      <x:c r="G114" s="59" t="n">
        <x:v>5.880000000000001</x:v>
      </x:c>
      <x:c r="H114" s="58" t="str">
        <x:v>modeled_latent_ensemble</x:v>
      </x:c>
    </x:row>
    <x:row r="115" ht="15" hidden="0" customHeight="1">
      <x:c r="A115" s="60" t="n">
        <x:v>110</x:v>
      </x:c>
      <x:c r="B115" s="60" t="n">
        <x:v>8.85480707500312</x:v>
      </x:c>
      <x:c r="C115" s="60" t="n">
        <x:v>6.073239084754844</x:v>
      </x:c>
      <x:c r="D115" s="60" t="n">
        <x:v>5.0719801004749705</x:v>
      </x:c>
      <x:c r="E115" s="60" t="n">
        <x:v>2.895333288998285</x:v>
      </x:c>
      <x:c r="F115" s="60" t="n">
        <x:v>6.504640450768783</x:v>
      </x:c>
      <x:c r="G115" s="60" t="n">
        <x:v>5.880000000000001</x:v>
      </x:c>
      <x:c r="H115" s="57" t="str">
        <x:v>modeled_latent_ensemble</x:v>
      </x:c>
    </x:row>
    <x:row r="116" ht="15" hidden="0" customHeight="1">
      <x:c r="A116" s="59" t="n">
        <x:v>111</x:v>
      </x:c>
      <x:c r="B116" s="59" t="n">
        <x:v>8.769838167211445</x:v>
      </x:c>
      <x:c r="C116" s="59" t="n">
        <x:v>5.938906213763749</x:v>
      </x:c>
      <x:c r="D116" s="59" t="n">
        <x:v>5.035034873140426</x:v>
      </x:c>
      <x:c r="E116" s="59" t="n">
        <x:v>3.2656288973569123</x:v>
      </x:c>
      <x:c r="F116" s="59" t="n">
        <x:v>6.390591848527468</x:v>
      </x:c>
      <x:c r="G116" s="59" t="n">
        <x:v>5.88</x:v>
      </x:c>
      <x:c r="H116" s="58" t="str">
        <x:v>modeled_latent_ensemble</x:v>
      </x:c>
    </x:row>
    <x:row r="117" ht="15" hidden="0" customHeight="1">
      <x:c r="A117" s="60" t="n">
        <x:v>112</x:v>
      </x:c>
      <x:c r="B117" s="60" t="n">
        <x:v>8.979316150731286</x:v>
      </x:c>
      <x:c r="C117" s="60" t="n">
        <x:v>6.162973679557068</x:v>
      </x:c>
      <x:c r="D117" s="60" t="n">
        <x:v>5.1287001085048525</x:v>
      </x:c>
      <x:c r="E117" s="60" t="n">
        <x:v>2.7618322749994286</x:v>
      </x:c>
      <x:c r="F117" s="60" t="n">
        <x:v>6.367177786207365</x:v>
      </x:c>
      <x:c r="G117" s="60" t="n">
        <x:v>5.88</x:v>
      </x:c>
      <x:c r="H117" s="57" t="str">
        <x:v>modeled_latent_ensemble</x:v>
      </x:c>
    </x:row>
    <x:row r="118" ht="15" hidden="0" customHeight="1">
      <x:c r="A118" s="59" t="n">
        <x:v>113</x:v>
      </x:c>
      <x:c r="B118" s="59" t="n">
        <x:v>8.948474828788562</x:v>
      </x:c>
      <x:c r="C118" s="59" t="n">
        <x:v>5.995739324533664</x:v>
      </x:c>
      <x:c r="D118" s="59" t="n">
        <x:v>5.082037234098786</x:v>
      </x:c>
      <x:c r="E118" s="59" t="n">
        <x:v>2.935358371809434</x:v>
      </x:c>
      <x:c r="F118" s="59" t="n">
        <x:v>6.438390240769555</x:v>
      </x:c>
      <x:c r="G118" s="59" t="n">
        <x:v>5.880000000000001</x:v>
      </x:c>
      <x:c r="H118" s="58" t="str">
        <x:v>modeled_latent_ensemble</x:v>
      </x:c>
    </x:row>
    <x:row r="119" ht="15" hidden="0" customHeight="1">
      <x:c r="A119" s="60" t="n">
        <x:v>114</x:v>
      </x:c>
      <x:c r="B119" s="60" t="n">
        <x:v>9.008524454541854</x:v>
      </x:c>
      <x:c r="C119" s="60" t="n">
        <x:v>6.1274551488023405</x:v>
      </x:c>
      <x:c r="D119" s="60" t="n">
        <x:v>4.894545107929544</x:v>
      </x:c>
      <x:c r="E119" s="60" t="n">
        <x:v>2.788848911069062</x:v>
      </x:c>
      <x:c r="F119" s="60" t="n">
        <x:v>6.580626377657199</x:v>
      </x:c>
      <x:c r="G119" s="60" t="n">
        <x:v>5.880000000000001</x:v>
      </x:c>
      <x:c r="H119" s="57" t="str">
        <x:v>modeled_latent_ensemble</x:v>
      </x:c>
    </x:row>
    <x:row r="120" ht="15" hidden="0" customHeight="1">
      <x:c r="A120" s="59" t="n">
        <x:v>115</x:v>
      </x:c>
      <x:c r="B120" s="59" t="n">
        <x:v>8.874112266463408</x:v>
      </x:c>
      <x:c r="C120" s="59" t="n">
        <x:v>5.948391855978292</x:v>
      </x:c>
      <x:c r="D120" s="59" t="n">
        <x:v>5.072226056490824</x:v>
      </x:c>
      <x:c r="E120" s="59" t="n">
        <x:v>2.9785795954618846</x:v>
      </x:c>
      <x:c r="F120" s="59" t="n">
        <x:v>6.526690225605591</x:v>
      </x:c>
      <x:c r="G120" s="59" t="n">
        <x:v>5.88</x:v>
      </x:c>
      <x:c r="H120" s="58" t="str">
        <x:v>modeled_latent_ensemble</x:v>
      </x:c>
    </x:row>
    <x:row r="121" ht="15" hidden="0" customHeight="1">
      <x:c r="A121" s="60" t="n">
        <x:v>116</x:v>
      </x:c>
      <x:c r="B121" s="60" t="n">
        <x:v>9.03655210720449</x:v>
      </x:c>
      <x:c r="C121" s="60" t="n">
        <x:v>6.055364391244762</x:v>
      </x:c>
      <x:c r="D121" s="60" t="n">
        <x:v>5.30265689802639</x:v>
      </x:c>
      <x:c r="E121" s="60" t="n">
        <x:v>2.3471727166382834</x:v>
      </x:c>
      <x:c r="F121" s="60" t="n">
        <x:v>6.658253886886077</x:v>
      </x:c>
      <x:c r="G121" s="60" t="n">
        <x:v>5.880000000000001</x:v>
      </x:c>
      <x:c r="H121" s="57" t="str">
        <x:v>modeled_latent_ensemble</x:v>
      </x:c>
    </x:row>
    <x:row r="122" ht="15" hidden="0" customHeight="1">
      <x:c r="A122" s="59" t="n">
        <x:v>117</x:v>
      </x:c>
      <x:c r="B122" s="59" t="n">
        <x:v>8.891137240223925</x:v>
      </x:c>
      <x:c r="C122" s="59" t="n">
        <x:v>5.9354689626987165</x:v>
      </x:c>
      <x:c r="D122" s="59" t="n">
        <x:v>4.920234557984424</x:v>
      </x:c>
      <x:c r="E122" s="59" t="n">
        <x:v>3.040454734708303</x:v>
      </x:c>
      <x:c r="F122" s="59" t="n">
        <x:v>6.612704504384632</x:v>
      </x:c>
      <x:c r="G122" s="59" t="n">
        <x:v>5.879999999999999</x:v>
      </x:c>
      <x:c r="H122" s="58" t="str">
        <x:v>modeled_latent_ensemble</x:v>
      </x:c>
    </x:row>
    <x:row r="123" ht="15" hidden="0" customHeight="1">
      <x:c r="A123" s="60" t="n">
        <x:v>118</x:v>
      </x:c>
      <x:c r="B123" s="60" t="n">
        <x:v>8.893620582512</x:v>
      </x:c>
      <x:c r="C123" s="60" t="n">
        <x:v>6.185577548837875</x:v>
      </x:c>
      <x:c r="D123" s="60" t="n">
        <x:v>5.125157546308309</x:v>
      </x:c>
      <x:c r="E123" s="60" t="n">
        <x:v>2.9266716285784447</x:v>
      </x:c>
      <x:c r="F123" s="60" t="n">
        <x:v>6.268972693763372</x:v>
      </x:c>
      <x:c r="G123" s="60" t="n">
        <x:v>5.88</x:v>
      </x:c>
      <x:c r="H123" s="57" t="str">
        <x:v>modeled_latent_ensemble</x:v>
      </x:c>
    </x:row>
    <x:row r="124" ht="15" hidden="0" customHeight="1">
      <x:c r="A124" s="59" t="n">
        <x:v>119</x:v>
      </x:c>
      <x:c r="B124" s="59" t="n">
        <x:v>8.806519529482463</x:v>
      </x:c>
      <x:c r="C124" s="59" t="n">
        <x:v>5.948886569674896</x:v>
      </x:c>
      <x:c r="D124" s="59" t="n">
        <x:v>5.173663671988735</x:v>
      </x:c>
      <x:c r="E124" s="59" t="n">
        <x:v>3.1462281113151307</x:v>
      </x:c>
      <x:c r="F124" s="59" t="n">
        <x:v>6.324702117538776</x:v>
      </x:c>
      <x:c r="G124" s="59" t="n">
        <x:v>5.880000000000001</x:v>
      </x:c>
      <x:c r="H124" s="58" t="str">
        <x:v>modeled_latent_ensemble</x:v>
      </x:c>
    </x:row>
    <x:row r="125" ht="15" hidden="0" customHeight="1">
      <x:c r="A125" s="60" t="n">
        <x:v>120</x:v>
      </x:c>
      <x:c r="B125" s="60" t="n">
        <x:v>8.901209417112092</x:v>
      </x:c>
      <x:c r="C125" s="60" t="n">
        <x:v>6.0455982036003375</x:v>
      </x:c>
      <x:c r="D125" s="60" t="n">
        <x:v>5.319305682705364</x:v>
      </x:c>
      <x:c r="E125" s="60" t="n">
        <x:v>2.6233765368521142</x:v>
      </x:c>
      <x:c r="F125" s="60" t="n">
        <x:v>6.510510159730094</x:v>
      </x:c>
      <x:c r="G125" s="60" t="n">
        <x:v>5.880000000000001</x:v>
      </x:c>
      <x:c r="H125" s="57" t="str">
        <x:v>modeled_latent_ensemble</x:v>
      </x:c>
    </x:row>
    <x:row r="126" ht="15" hidden="0" customHeight="1">
      <x:c r="A126" s="59" t="n">
        <x:v>121</x:v>
      </x:c>
      <x:c r="B126" s="59" t="n">
        <x:v>8.85354288455542</x:v>
      </x:c>
      <x:c r="C126" s="59" t="n">
        <x:v>5.898542274410343</x:v>
      </x:c>
      <x:c r="D126" s="59" t="n">
        <x:v>5.0723256496768405</x:v>
      </x:c>
      <x:c r="E126" s="59" t="n">
        <x:v>2.9779725283631997</x:v>
      </x:c>
      <x:c r="F126" s="59" t="n">
        <x:v>6.597616662994198</x:v>
      </x:c>
      <x:c r="G126" s="59" t="n">
        <x:v>5.880000000000001</x:v>
      </x:c>
      <x:c r="H126" s="58" t="str">
        <x:v>modeled_latent_ensemble</x:v>
      </x:c>
    </x:row>
    <x:row r="127" ht="15" hidden="0" customHeight="1">
      <x:c r="A127" s="60" t="n">
        <x:v>122</x:v>
      </x:c>
      <x:c r="B127" s="60" t="n">
        <x:v>8.886907167339093</x:v>
      </x:c>
      <x:c r="C127" s="60" t="n">
        <x:v>6.021339427013031</x:v>
      </x:c>
      <x:c r="D127" s="60" t="n">
        <x:v>4.823877939855791</x:v>
      </x:c>
      <x:c r="E127" s="60" t="n">
        <x:v>3.3568316290315816</x:v>
      </x:c>
      <x:c r="F127" s="60" t="n">
        <x:v>6.311043836760504</x:v>
      </x:c>
      <x:c r="G127" s="60" t="n">
        <x:v>5.880000000000001</x:v>
      </x:c>
      <x:c r="H127" s="57" t="str">
        <x:v>modeled_latent_ensemble</x:v>
      </x:c>
    </x:row>
    <x:row r="128" ht="15" hidden="0" customHeight="1">
      <x:c r="A128" s="59" t="n">
        <x:v>123</x:v>
      </x:c>
      <x:c r="B128" s="59" t="n">
        <x:v>8.82799776726558</x:v>
      </x:c>
      <x:c r="C128" s="59" t="n">
        <x:v>6.046156252618831</x:v>
      </x:c>
      <x:c r="D128" s="59" t="n">
        <x:v>4.941733940526954</x:v>
      </x:c>
      <x:c r="E128" s="59" t="n">
        <x:v>3.1201440069733946</x:v>
      </x:c>
      <x:c r="F128" s="59" t="n">
        <x:v>6.463968032615241</x:v>
      </x:c>
      <x:c r="G128" s="59" t="n">
        <x:v>5.880000000000001</x:v>
      </x:c>
      <x:c r="H128" s="58" t="str">
        <x:v>modeled_latent_ensemble</x:v>
      </x:c>
    </x:row>
    <x:row r="129" ht="15" hidden="0" customHeight="1">
      <x:c r="A129" s="60" t="n">
        <x:v>124</x:v>
      </x:c>
      <x:c r="B129" s="60" t="n">
        <x:v>8.842897321941154</x:v>
      </x:c>
      <x:c r="C129" s="60" t="n">
        <x:v>5.986310630367544</x:v>
      </x:c>
      <x:c r="D129" s="60" t="n">
        <x:v>5.278994840091761</x:v>
      </x:c>
      <x:c r="E129" s="60" t="n">
        <x:v>3.0216115810904083</x:v>
      </x:c>
      <x:c r="F129" s="60" t="n">
        <x:v>6.270185626509135</x:v>
      </x:c>
      <x:c r="G129" s="60" t="n">
        <x:v>5.880000000000001</x:v>
      </x:c>
      <x:c r="H129" s="57" t="str">
        <x:v>modeled_latent_ensemble</x:v>
      </x:c>
    </x:row>
    <x:row r="130" ht="15" hidden="0" customHeight="1">
      <x:c r="A130" s="59" t="n">
        <x:v>125</x:v>
      </x:c>
      <x:c r="B130" s="59" t="n">
        <x:v>8.81275795008189</x:v>
      </x:c>
      <x:c r="C130" s="59" t="n">
        <x:v>6.106901916387255</x:v>
      </x:c>
      <x:c r="D130" s="59" t="n">
        <x:v>5.119853380386634</x:v>
      </x:c>
      <x:c r="E130" s="59" t="n">
        <x:v>3.099624694118146</x:v>
      </x:c>
      <x:c r="F130" s="59" t="n">
        <x:v>6.260862059026078</x:v>
      </x:c>
      <x:c r="G130" s="59" t="n">
        <x:v>5.880000000000001</x:v>
      </x:c>
      <x:c r="H130" s="58" t="str">
        <x:v>modeled_latent_ensemble</x:v>
      </x:c>
    </x:row>
    <x:row r="131" ht="15" hidden="0" customHeight="1">
      <x:c r="A131" s="60" t="n">
        <x:v>126</x:v>
      </x:c>
      <x:c r="B131" s="60" t="n">
        <x:v>8.926315769336572</x:v>
      </x:c>
      <x:c r="C131" s="60" t="n">
        <x:v>6.0352067480603075</x:v>
      </x:c>
      <x:c r="D131" s="60" t="n">
        <x:v>4.985093391409071</x:v>
      </x:c>
      <x:c r="E131" s="60" t="n">
        <x:v>3.1212378709905297</x:v>
      </x:c>
      <x:c r="F131" s="60" t="n">
        <x:v>6.33214622020352</x:v>
      </x:c>
      <x:c r="G131" s="60" t="n">
        <x:v>5.880000000000001</x:v>
      </x:c>
      <x:c r="H131" s="57" t="str">
        <x:v>modeled_latent_ensemble</x:v>
      </x:c>
    </x:row>
    <x:row r="132" ht="15" hidden="0" customHeight="1">
      <x:c r="A132" s="59" t="n">
        <x:v>127</x:v>
      </x:c>
      <x:c r="B132" s="59" t="n">
        <x:v>8.860315539530097</x:v>
      </x:c>
      <x:c r="C132" s="59" t="n">
        <x:v>6.031772134848145</x:v>
      </x:c>
      <x:c r="D132" s="59" t="n">
        <x:v>5.184958020970691</x:v>
      </x:c>
      <x:c r="E132" s="59" t="n">
        <x:v>2.9262537102915984</x:v>
      </x:c>
      <x:c r="F132" s="59" t="n">
        <x:v>6.396700594359471</x:v>
      </x:c>
      <x:c r="G132" s="59" t="n">
        <x:v>5.88</x:v>
      </x:c>
      <x:c r="H132" s="58" t="str">
        <x:v>modeled_latent_ensemble</x:v>
      </x:c>
    </x:row>
    <x:row r="133" ht="15" hidden="0" customHeight="1">
      <x:c r="A133" s="60" t="n">
        <x:v>128</x:v>
      </x:c>
      <x:c r="B133" s="60" t="n">
        <x:v>8.783523243023726</x:v>
      </x:c>
      <x:c r="C133" s="60" t="n">
        <x:v>6.040716177594232</x:v>
      </x:c>
      <x:c r="D133" s="60" t="n">
        <x:v>5.111758692484809</x:v>
      </x:c>
      <x:c r="E133" s="60" t="n">
        <x:v>2.809663270667909</x:v>
      </x:c>
      <x:c r="F133" s="60" t="n">
        <x:v>6.654338616229325</x:v>
      </x:c>
      <x:c r="G133" s="60" t="n">
        <x:v>5.880000000000001</x:v>
      </x:c>
      <x:c r="H133" s="57" t="str">
        <x:v>modeled_latent_ensemble</x:v>
      </x:c>
    </x:row>
    <x:row r="134" ht="15" hidden="0" customHeight="1">
      <x:c r="A134" s="59" t="n">
        <x:v>129</x:v>
      </x:c>
      <x:c r="B134" s="59" t="n">
        <x:v>8.786393386936217</x:v>
      </x:c>
      <x:c r="C134" s="59" t="n">
        <x:v>5.9986283829051255</x:v>
      </x:c>
      <x:c r="D134" s="59" t="n">
        <x:v>4.910670160793553</x:v>
      </x:c>
      <x:c r="E134" s="59" t="n">
        <x:v>3.4688502710740563</x:v>
      </x:c>
      <x:c r="F134" s="59" t="n">
        <x:v>6.23545779829105</x:v>
      </x:c>
      <x:c r="G134" s="59" t="n">
        <x:v>5.880000000000001</x:v>
      </x:c>
      <x:c r="H134" s="58" t="str">
        <x:v>modeled_latent_ensemble</x:v>
      </x:c>
    </x:row>
    <x:row r="135" ht="15" hidden="0" customHeight="1">
      <x:c r="A135" s="60" t="n">
        <x:v>130</x:v>
      </x:c>
      <x:c r="B135" s="60" t="n">
        <x:v>8.797542836152216</x:v>
      </x:c>
      <x:c r="C135" s="60" t="n">
        <x:v>5.889277459357026</x:v>
      </x:c>
      <x:c r="D135" s="60" t="n">
        <x:v>4.796334410708657</x:v>
      </x:c>
      <x:c r="E135" s="60" t="n">
        <x:v>3.5550095400720205</x:v>
      </x:c>
      <x:c r="F135" s="60" t="n">
        <x:v>6.361835753710083</x:v>
      </x:c>
      <x:c r="G135" s="60" t="n">
        <x:v>5.880000000000001</x:v>
      </x:c>
      <x:c r="H135" s="57" t="str">
        <x:v>modeled_latent_ensemble</x:v>
      </x:c>
    </x:row>
    <x:row r="136" ht="15" hidden="0" customHeight="1">
      <x:c r="A136" s="59" t="n">
        <x:v>131</x:v>
      </x:c>
      <x:c r="B136" s="59" t="n">
        <x:v>9.034918116056602</x:v>
      </x:c>
      <x:c r="C136" s="59" t="n">
        <x:v>6.060252317822047</x:v>
      </x:c>
      <x:c r="D136" s="59" t="n">
        <x:v>5.064119878629993</x:v>
      </x:c>
      <x:c r="E136" s="59" t="n">
        <x:v>2.5624574414013903</x:v>
      </x:c>
      <x:c r="F136" s="59" t="n">
        <x:v>6.678252246089969</x:v>
      </x:c>
      <x:c r="G136" s="59" t="n">
        <x:v>5.88</x:v>
      </x:c>
      <x:c r="H136" s="58" t="str">
        <x:v>modeled_latent_ensemble</x:v>
      </x:c>
    </x:row>
    <x:row r="137" ht="15" hidden="0" customHeight="1">
      <x:c r="A137" s="60" t="n">
        <x:v>132</x:v>
      </x:c>
      <x:c r="B137" s="60" t="n">
        <x:v>8.938380826925247</x:v>
      </x:c>
      <x:c r="C137" s="60" t="n">
        <x:v>5.903447824932924</x:v>
      </x:c>
      <x:c r="D137" s="60" t="n">
        <x:v>5.306007803285658</x:v>
      </x:c>
      <x:c r="E137" s="60" t="n">
        <x:v>2.7703825406093427</x:v>
      </x:c>
      <x:c r="F137" s="60" t="n">
        <x:v>6.481781004246829</x:v>
      </x:c>
      <x:c r="G137" s="60" t="n">
        <x:v>5.880000000000001</x:v>
      </x:c>
      <x:c r="H137" s="57" t="str">
        <x:v>modeled_latent_ensemble</x:v>
      </x:c>
    </x:row>
    <x:row r="138" ht="15" hidden="0" customHeight="1">
      <x:c r="A138" s="59" t="n">
        <x:v>133</x:v>
      </x:c>
      <x:c r="B138" s="59" t="n">
        <x:v>8.852517392244534</x:v>
      </x:c>
      <x:c r="C138" s="59" t="n">
        <x:v>6.016253244026749</x:v>
      </x:c>
      <x:c r="D138" s="59" t="n">
        <x:v>5.052478189804</x:v>
      </x:c>
      <x:c r="E138" s="59" t="n">
        <x:v>3.187053209320038</x:v>
      </x:c>
      <x:c r="F138" s="59" t="n">
        <x:v>6.291697964604681</x:v>
      </x:c>
      <x:c r="G138" s="59" t="n">
        <x:v>5.88</x:v>
      </x:c>
      <x:c r="H138" s="58" t="str">
        <x:v>modeled_latent_ensemble</x:v>
      </x:c>
    </x:row>
    <x:row r="139" ht="15" hidden="0" customHeight="1">
      <x:c r="A139" s="60" t="n">
        <x:v>134</x:v>
      </x:c>
      <x:c r="B139" s="60" t="n">
        <x:v>8.860797519650369</x:v>
      </x:c>
      <x:c r="C139" s="60" t="n">
        <x:v>6.021825095135771</x:v>
      </x:c>
      <x:c r="D139" s="60" t="n">
        <x:v>5.048607401063132</x:v>
      </x:c>
      <x:c r="E139" s="60" t="n">
        <x:v>3.063291368013007</x:v>
      </x:c>
      <x:c r="F139" s="60" t="n">
        <x:v>6.405478616137723</x:v>
      </x:c>
      <x:c r="G139" s="60" t="n">
        <x:v>5.880000000000001</x:v>
      </x:c>
      <x:c r="H139" s="57" t="str">
        <x:v>modeled_latent_ensemble</x:v>
      </x:c>
    </x:row>
    <x:row r="140" ht="15" hidden="0" customHeight="1">
      <x:c r="A140" s="59" t="n">
        <x:v>135</x:v>
      </x:c>
      <x:c r="B140" s="59" t="n">
        <x:v>8.7371445813937</x:v>
      </x:c>
      <x:c r="C140" s="59" t="n">
        <x:v>5.919680889962414</x:v>
      </x:c>
      <x:c r="D140" s="59" t="n">
        <x:v>5.045800861881073</x:v>
      </x:c>
      <x:c r="E140" s="59" t="n">
        <x:v>3.516782664146612</x:v>
      </x:c>
      <x:c r="F140" s="59" t="n">
        <x:v>6.180591002616201</x:v>
      </x:c>
      <x:c r="G140" s="59" t="n">
        <x:v>5.88</x:v>
      </x:c>
      <x:c r="H140" s="58" t="str">
        <x:v>modeled_latent_ensemble</x:v>
      </x:c>
    </x:row>
    <x:row r="141" ht="15" hidden="0" customHeight="1">
      <x:c r="A141" s="60" t="n">
        <x:v>136</x:v>
      </x:c>
      <x:c r="B141" s="60" t="n">
        <x:v>8.772109448883525</x:v>
      </x:c>
      <x:c r="C141" s="60" t="n">
        <x:v>6.038179335281778</x:v>
      </x:c>
      <x:c r="D141" s="60" t="n">
        <x:v>4.942662486583806</x:v>
      </x:c>
      <x:c r="E141" s="60" t="n">
        <x:v>3.1455213493767133</x:v>
      </x:c>
      <x:c r="F141" s="60" t="n">
        <x:v>6.5015273798741795</x:v>
      </x:c>
      <x:c r="G141" s="60" t="n">
        <x:v>5.880000000000001</x:v>
      </x:c>
      <x:c r="H141" s="57" t="str">
        <x:v>modeled_latent_ensemble</x:v>
      </x:c>
    </x:row>
    <x:row r="142" ht="15" hidden="0" customHeight="1">
      <x:c r="A142" s="59" t="n">
        <x:v>137</x:v>
      </x:c>
      <x:c r="B142" s="59" t="n">
        <x:v>8.934014656502269</x:v>
      </x:c>
      <x:c r="C142" s="59" t="n">
        <x:v>5.975111504789842</x:v>
      </x:c>
      <x:c r="D142" s="59" t="n">
        <x:v>5.062584905376995</x:v>
      </x:c>
      <x:c r="E142" s="59" t="n">
        <x:v>2.94831525326046</x:v>
      </x:c>
      <x:c r="F142" s="59" t="n">
        <x:v>6.479973680070436</x:v>
      </x:c>
      <x:c r="G142" s="59" t="n">
        <x:v>5.880000000000001</x:v>
      </x:c>
      <x:c r="H142" s="58" t="str">
        <x:v>modeled_latent_ensemble</x:v>
      </x:c>
    </x:row>
    <x:row r="143" ht="15" hidden="0" customHeight="1">
      <x:c r="A143" s="60" t="n">
        <x:v>138</x:v>
      </x:c>
      <x:c r="B143" s="60" t="n">
        <x:v>8.95191654319013</x:v>
      </x:c>
      <x:c r="C143" s="60" t="n">
        <x:v>6.079039002225219</x:v>
      </x:c>
      <x:c r="D143" s="60" t="n">
        <x:v>5.258290883565216</x:v>
      </x:c>
      <x:c r="E143" s="60" t="n">
        <x:v>2.5069284581575166</x:v>
      </x:c>
      <x:c r="F143" s="60" t="n">
        <x:v>6.6038251128619185</x:v>
      </x:c>
      <x:c r="G143" s="60" t="n">
        <x:v>5.880000000000001</x:v>
      </x:c>
      <x:c r="H143" s="57" t="str">
        <x:v>modeled_latent_ensemble</x:v>
      </x:c>
    </x:row>
    <x:row r="144" ht="15" hidden="0" customHeight="1">
      <x:c r="A144" s="59" t="n">
        <x:v>139</x:v>
      </x:c>
      <x:c r="B144" s="59" t="n">
        <x:v>8.945664121934998</x:v>
      </x:c>
      <x:c r="C144" s="59" t="n">
        <x:v>5.952420645103418</x:v>
      </x:c>
      <x:c r="D144" s="59" t="n">
        <x:v>5.257393120362009</x:v>
      </x:c>
      <x:c r="E144" s="59" t="n">
        <x:v>2.783261739139957</x:v>
      </x:c>
      <x:c r="F144" s="59" t="n">
        <x:v>6.46126037345962</x:v>
      </x:c>
      <x:c r="G144" s="59" t="n">
        <x:v>5.88</x:v>
      </x:c>
      <x:c r="H144" s="58" t="str">
        <x:v>modeled_latent_ensemble</x:v>
      </x:c>
    </x:row>
    <x:row r="145" ht="15" hidden="0" customHeight="1">
      <x:c r="A145" s="60" t="n">
        <x:v>140</x:v>
      </x:c>
      <x:c r="B145" s="60" t="n">
        <x:v>9.024298757286834</x:v>
      </x:c>
      <x:c r="C145" s="60" t="n">
        <x:v>6.0690631369849255</x:v>
      </x:c>
      <x:c r="D145" s="60" t="n">
        <x:v>5.239928531578328</x:v>
      </x:c>
      <x:c r="E145" s="60" t="n">
        <x:v>2.6402759034554055</x:v>
      </x:c>
      <x:c r="F145" s="60" t="n">
        <x:v>6.426433670694508</x:v>
      </x:c>
      <x:c r="G145" s="60" t="n">
        <x:v>5.88</x:v>
      </x:c>
      <x:c r="H145" s="57" t="str">
        <x:v>modeled_latent_ensemble</x:v>
      </x:c>
    </x:row>
    <x:row r="146" ht="15" hidden="0" customHeight="1">
      <x:c r="A146" s="59" t="n">
        <x:v>141</x:v>
      </x:c>
      <x:c r="B146" s="59" t="n">
        <x:v>8.935255550497875</x:v>
      </x:c>
      <x:c r="C146" s="59" t="n">
        <x:v>5.886763817684619</x:v>
      </x:c>
      <x:c r="D146" s="59" t="n">
        <x:v>4.954373421211677</x:v>
      </x:c>
      <x:c r="E146" s="59" t="n">
        <x:v>3.23611652010004</x:v>
      </x:c>
      <x:c r="F146" s="59" t="n">
        <x:v>6.38749069050579</x:v>
      </x:c>
      <x:c r="G146" s="59" t="n">
        <x:v>5.88</x:v>
      </x:c>
      <x:c r="H146" s="58" t="str">
        <x:v>modeled_latent_ensemble</x:v>
      </x:c>
    </x:row>
    <x:row r="147" ht="15" hidden="0" customHeight="1">
      <x:c r="A147" s="60" t="n">
        <x:v>142</x:v>
      </x:c>
      <x:c r="B147" s="60" t="n">
        <x:v>8.820907074524149</x:v>
      </x:c>
      <x:c r="C147" s="60" t="n">
        <x:v>6.013428446223007</x:v>
      </x:c>
      <x:c r="D147" s="60" t="n">
        <x:v>5.180171282613351</x:v>
      </x:c>
      <x:c r="E147" s="60" t="n">
        <x:v>2.9802428100849547</x:v>
      </x:c>
      <x:c r="F147" s="60" t="n">
        <x:v>6.405250386554538</x:v>
      </x:c>
      <x:c r="G147" s="60" t="n">
        <x:v>5.880000000000001</x:v>
      </x:c>
      <x:c r="H147" s="57" t="str">
        <x:v>modeled_latent_ensemble</x:v>
      </x:c>
    </x:row>
    <x:row r="148" ht="15" hidden="0" customHeight="1">
      <x:c r="A148" s="59" t="n">
        <x:v>143</x:v>
      </x:c>
      <x:c r="B148" s="59" t="n">
        <x:v>8.945780069214784</x:v>
      </x:c>
      <x:c r="C148" s="59" t="n">
        <x:v>6.024888887078194</x:v>
      </x:c>
      <x:c r="D148" s="59" t="n">
        <x:v>5.005804589622421</x:v>
      </x:c>
      <x:c r="E148" s="59" t="n">
        <x:v>3.0364112402868053</x:v>
      </x:c>
      <x:c r="F148" s="59" t="n">
        <x:v>6.387115213797798</x:v>
      </x:c>
      <x:c r="G148" s="59" t="n">
        <x:v>5.880000000000001</x:v>
      </x:c>
      <x:c r="H148" s="58" t="str">
        <x:v>modeled_latent_ensemble</x:v>
      </x:c>
    </x:row>
    <x:row r="149" ht="15" hidden="0" customHeight="1">
      <x:c r="A149" s="60" t="n">
        <x:v>144</x:v>
      </x:c>
      <x:c r="B149" s="60" t="n">
        <x:v>8.986695863582838</x:v>
      </x:c>
      <x:c r="C149" s="60" t="n">
        <x:v>5.968362131436149</x:v>
      </x:c>
      <x:c r="D149" s="60" t="n">
        <x:v>5.164135217436233</x:v>
      </x:c>
      <x:c r="E149" s="60" t="n">
        <x:v>3.0063488524644337</x:v>
      </x:c>
      <x:c r="F149" s="60" t="n">
        <x:v>6.274457935080347</x:v>
      </x:c>
      <x:c r="G149" s="60" t="n">
        <x:v>5.88</x:v>
      </x:c>
      <x:c r="H149" s="57" t="str">
        <x:v>modeled_latent_ensemble</x:v>
      </x:c>
    </x:row>
    <x:row r="150" ht="15" hidden="0" customHeight="1">
      <x:c r="A150" s="59" t="n">
        <x:v>145</x:v>
      </x:c>
      <x:c r="B150" s="59" t="n">
        <x:v>8.933063979680524</x:v>
      </x:c>
      <x:c r="C150" s="59" t="n">
        <x:v>6.134632213870659</x:v>
      </x:c>
      <x:c r="D150" s="59" t="n">
        <x:v>4.962982327266818</x:v>
      </x:c>
      <x:c r="E150" s="59" t="n">
        <x:v>2.7405781454941467</x:v>
      </x:c>
      <x:c r="F150" s="59" t="n">
        <x:v>6.628743333687853</x:v>
      </x:c>
      <x:c r="G150" s="59" t="n">
        <x:v>5.880000000000001</x:v>
      </x:c>
      <x:c r="H150" s="58" t="str">
        <x:v>modeled_latent_ensemble</x:v>
      </x:c>
    </x:row>
    <x:row r="151" ht="15" hidden="0" customHeight="1">
      <x:c r="A151" s="60" t="n">
        <x:v>146</x:v>
      </x:c>
      <x:c r="B151" s="60" t="n">
        <x:v>9.020952277047666</x:v>
      </x:c>
      <x:c r="C151" s="60" t="n">
        <x:v>6.053332800820762</x:v>
      </x:c>
      <x:c r="D151" s="60" t="n">
        <x:v>5.165580539525902</x:v>
      </x:c>
      <x:c r="E151" s="60" t="n">
        <x:v>2.8015553439854766</x:v>
      </x:c>
      <x:c r="F151" s="60" t="n">
        <x:v>6.358579038620196</x:v>
      </x:c>
      <x:c r="G151" s="60" t="n">
        <x:v>5.880000000000001</x:v>
      </x:c>
      <x:c r="H151" s="57" t="str">
        <x:v>modeled_latent_ensemble</x:v>
      </x:c>
    </x:row>
    <x:row r="152" ht="15" hidden="0" customHeight="1">
      <x:c r="A152" s="59" t="n">
        <x:v>147</x:v>
      </x:c>
      <x:c r="B152" s="59" t="n">
        <x:v>8.943838418896613</x:v>
      </x:c>
      <x:c r="C152" s="59" t="n">
        <x:v>6.076212870386375</x:v>
      </x:c>
      <x:c r="D152" s="59" t="n">
        <x:v>5.117852392267639</x:v>
      </x:c>
      <x:c r="E152" s="59" t="n">
        <x:v>2.9403781330557286</x:v>
      </x:c>
      <x:c r="F152" s="59" t="n">
        <x:v>6.321718185393645</x:v>
      </x:c>
      <x:c r="G152" s="59" t="n">
        <x:v>5.880000000000001</x:v>
      </x:c>
      <x:c r="H152" s="58" t="str">
        <x:v>modeled_latent_ensemble</x:v>
      </x:c>
    </x:row>
    <x:row r="153" ht="15" hidden="0" customHeight="1">
      <x:c r="A153" s="60" t="n">
        <x:v>148</x:v>
      </x:c>
      <x:c r="B153" s="60" t="n">
        <x:v>8.893584553356472</x:v>
      </x:c>
      <x:c r="C153" s="60" t="n">
        <x:v>5.920905033186321</x:v>
      </x:c>
      <x:c r="D153" s="60" t="n">
        <x:v>4.98984035084883</x:v>
      </x:c>
      <x:c r="E153" s="60" t="n">
        <x:v>3.164345202996048</x:v>
      </x:c>
      <x:c r="F153" s="60" t="n">
        <x:v>6.43132485961233</x:v>
      </x:c>
      <x:c r="G153" s="60" t="n">
        <x:v>5.88</x:v>
      </x:c>
      <x:c r="H153" s="57" t="str">
        <x:v>modeled_latent_ensemble</x:v>
      </x:c>
    </x:row>
    <x:row r="154" ht="15" hidden="0" customHeight="1">
      <x:c r="A154" s="59" t="n">
        <x:v>149</x:v>
      </x:c>
      <x:c r="B154" s="59" t="n">
        <x:v>8.866590808322146</x:v>
      </x:c>
      <x:c r="C154" s="59" t="n">
        <x:v>6.074835298310785</x:v>
      </x:c>
      <x:c r="D154" s="59" t="n">
        <x:v>5.148645438478179</x:v>
      </x:c>
      <x:c r="E154" s="59" t="n">
        <x:v>3.0316587892578837</x:v>
      </x:c>
      <x:c r="F154" s="59" t="n">
        <x:v>6.278269665631006</x:v>
      </x:c>
      <x:c r="G154" s="59" t="n">
        <x:v>5.88</x:v>
      </x:c>
      <x:c r="H154" s="58" t="str">
        <x:v>modeled_latent_ensemble</x:v>
      </x:c>
    </x:row>
    <x:row r="155" ht="15" hidden="0" customHeight="1">
      <x:c r="A155" s="60" t="n">
        <x:v>150</x:v>
      </x:c>
      <x:c r="B155" s="60" t="n">
        <x:v>8.979305860989072</x:v>
      </x:c>
      <x:c r="C155" s="60" t="n">
        <x:v>6.077567048887419</x:v>
      </x:c>
      <x:c r="D155" s="60" t="n">
        <x:v>5.093673635895702</x:v>
      </x:c>
      <x:c r="E155" s="60" t="n">
        <x:v>2.6898381397284936</x:v>
      </x:c>
      <x:c r="F155" s="60" t="n">
        <x:v>6.559615314499315</x:v>
      </x:c>
      <x:c r="G155" s="60" t="n">
        <x:v>5.880000000000001</x:v>
      </x:c>
      <x:c r="H155" s="57" t="str">
        <x:v>modeled_latent_ensemble</x:v>
      </x:c>
    </x:row>
    <x:row r="156" ht="15" hidden="0" customHeight="1">
      <x:c r="A156" s="59" t="n">
        <x:v>151</x:v>
      </x:c>
      <x:c r="B156" s="59" t="n">
        <x:v>8.914670285647281</x:v>
      </x:c>
      <x:c r="C156" s="59" t="n">
        <x:v>6.03627471834993</x:v>
      </x:c>
      <x:c r="D156" s="59" t="n">
        <x:v>5.266334773005884</x:v>
      </x:c>
      <x:c r="E156" s="59" t="n">
        <x:v>2.7113703825571602</x:v>
      </x:c>
      <x:c r="F156" s="59" t="n">
        <x:v>6.4713498404397445</x:v>
      </x:c>
      <x:c r="G156" s="59" t="n">
        <x:v>5.88</x:v>
      </x:c>
      <x:c r="H156" s="58" t="str">
        <x:v>modeled_latent_ensemble</x:v>
      </x:c>
    </x:row>
    <x:row r="157" ht="15" hidden="0" customHeight="1">
      <x:c r="A157" s="60" t="n">
        <x:v>152</x:v>
      </x:c>
      <x:c r="B157" s="60" t="n">
        <x:v>8.808960045035581</x:v>
      </x:c>
      <x:c r="C157" s="60" t="n">
        <x:v>5.942044281679272</x:v>
      </x:c>
      <x:c r="D157" s="60" t="n">
        <x:v>5.16202291074269</x:v>
      </x:c>
      <x:c r="E157" s="60" t="n">
        <x:v>3.029803297459677</x:v>
      </x:c>
      <x:c r="F157" s="60" t="n">
        <x:v>6.457169465082781</x:v>
      </x:c>
      <x:c r="G157" s="60" t="n">
        <x:v>5.88</x:v>
      </x:c>
      <x:c r="H157" s="57" t="str">
        <x:v>modeled_latent_ensemble</x:v>
      </x:c>
    </x:row>
    <x:row r="158" ht="15" hidden="0" customHeight="1">
      <x:c r="A158" s="59" t="n">
        <x:v>153</x:v>
      </x:c>
      <x:c r="B158" s="59" t="n">
        <x:v>8.974547408131818</x:v>
      </x:c>
      <x:c r="C158" s="59" t="n">
        <x:v>5.894898271419741</x:v>
      </x:c>
      <x:c r="D158" s="59" t="n">
        <x:v>5.002602175661117</x:v>
      </x:c>
      <x:c r="E158" s="59" t="n">
        <x:v>3.2254568918950657</x:v>
      </x:c>
      <x:c r="F158" s="59" t="n">
        <x:v>6.3024952528922595</x:v>
      </x:c>
      <x:c r="G158" s="59" t="n">
        <x:v>5.880000000000001</x:v>
      </x:c>
      <x:c r="H158" s="58" t="str">
        <x:v>modeled_latent_ensemble</x:v>
      </x:c>
    </x:row>
    <x:row r="159" ht="15" hidden="0" customHeight="1">
      <x:c r="A159" s="60" t="n">
        <x:v>154</x:v>
      </x:c>
      <x:c r="B159" s="60" t="n">
        <x:v>8.771617680302107</x:v>
      </x:c>
      <x:c r="C159" s="60" t="n">
        <x:v>5.92667350843698</x:v>
      </x:c>
      <x:c r="D159" s="60" t="n">
        <x:v>5.15204457797566</x:v>
      </x:c>
      <x:c r="E159" s="60" t="n">
        <x:v>3.2086064038378974</x:v>
      </x:c>
      <x:c r="F159" s="60" t="n">
        <x:v>6.341057829447356</x:v>
      </x:c>
      <x:c r="G159" s="60" t="n">
        <x:v>5.880000000000001</x:v>
      </x:c>
      <x:c r="H159" s="57" t="str">
        <x:v>modeled_latent_ensemble</x:v>
      </x:c>
    </x:row>
    <x:row r="160" ht="15" hidden="0" customHeight="1">
      <x:c r="A160" s="59" t="n">
        <x:v>155</x:v>
      </x:c>
      <x:c r="B160" s="59" t="n">
        <x:v>8.80215230580152</x:v>
      </x:c>
      <x:c r="C160" s="59" t="n">
        <x:v>6.00491053220041</x:v>
      </x:c>
      <x:c r="D160" s="59" t="n">
        <x:v>5.082031531597912</x:v>
      </x:c>
      <x:c r="E160" s="59" t="n">
        <x:v>3.2247970414794427</x:v>
      </x:c>
      <x:c r="F160" s="59" t="n">
        <x:v>6.286108588920717</x:v>
      </x:c>
      <x:c r="G160" s="59" t="n">
        <x:v>5.880000000000001</x:v>
      </x:c>
      <x:c r="H160" s="58" t="str">
        <x:v>modeled_latent_ensemble</x:v>
      </x:c>
    </x:row>
    <x:row r="161" ht="15" hidden="0" customHeight="1">
      <x:c r="A161" s="60" t="n">
        <x:v>156</x:v>
      </x:c>
      <x:c r="B161" s="60" t="n">
        <x:v>9.024141232050361</x:v>
      </x:c>
      <x:c r="C161" s="60" t="n">
        <x:v>5.91621260717371</x:v>
      </x:c>
      <x:c r="D161" s="60" t="n">
        <x:v>5.065878988124656</x:v>
      </x:c>
      <x:c r="E161" s="60" t="n">
        <x:v>2.8819921389636503</x:v>
      </x:c>
      <x:c r="F161" s="60" t="n">
        <x:v>6.511775033687623</x:v>
      </x:c>
      <x:c r="G161" s="60" t="n">
        <x:v>5.880000000000001</x:v>
      </x:c>
      <x:c r="H161" s="57" t="str">
        <x:v>modeled_latent_ensemble</x:v>
      </x:c>
    </x:row>
    <x:row r="162" ht="15" hidden="0" customHeight="1">
      <x:c r="A162" s="59" t="n">
        <x:v>157</x:v>
      </x:c>
      <x:c r="B162" s="59" t="n">
        <x:v>8.850253131298471</x:v>
      </x:c>
      <x:c r="C162" s="59" t="n">
        <x:v>6.012910945348727</x:v>
      </x:c>
      <x:c r="D162" s="59" t="n">
        <x:v>5.074096444407913</x:v>
      </x:c>
      <x:c r="E162" s="59" t="n">
        <x:v>3.13146692727792</x:v>
      </x:c>
      <x:c r="F162" s="59" t="n">
        <x:v>6.33127255166697</x:v>
      </x:c>
      <x:c r="G162" s="59" t="n">
        <x:v>5.880000000000001</x:v>
      </x:c>
      <x:c r="H162" s="58" t="str">
        <x:v>modeled_latent_ensemble</x:v>
      </x:c>
    </x:row>
    <x:row r="163" ht="15" hidden="0" customHeight="1">
      <x:c r="A163" s="60" t="n">
        <x:v>158</x:v>
      </x:c>
      <x:c r="B163" s="60" t="n">
        <x:v>8.919043009888348</x:v>
      </x:c>
      <x:c r="C163" s="60" t="n">
        <x:v>5.95679875267209</x:v>
      </x:c>
      <x:c r="D163" s="60" t="n">
        <x:v>4.922519741717609</x:v>
      </x:c>
      <x:c r="E163" s="60" t="n">
        <x:v>3.3302591626436375</x:v>
      </x:c>
      <x:c r="F163" s="60" t="n">
        <x:v>6.2713793330783165</x:v>
      </x:c>
      <x:c r="G163" s="60" t="n">
        <x:v>5.880000000000001</x:v>
      </x:c>
      <x:c r="H163" s="57" t="str">
        <x:v>modeled_latent_ensemble</x:v>
      </x:c>
    </x:row>
    <x:row r="164" ht="15" hidden="0" customHeight="1">
      <x:c r="A164" s="59" t="n">
        <x:v>159</x:v>
      </x:c>
      <x:c r="B164" s="59" t="n">
        <x:v>8.840606596744523</x:v>
      </x:c>
      <x:c r="C164" s="59" t="n">
        <x:v>6.013188007893204</x:v>
      </x:c>
      <x:c r="D164" s="59" t="n">
        <x:v>4.952791454056231</x:v>
      </x:c>
      <x:c r="E164" s="59" t="n">
        <x:v>3.1237866602635247</x:v>
      </x:c>
      <x:c r="F164" s="59" t="n">
        <x:v>6.469627281042518</x:v>
      </x:c>
      <x:c r="G164" s="59" t="n">
        <x:v>5.880000000000001</x:v>
      </x:c>
      <x:c r="H164" s="58" t="str">
        <x:v>modeled_latent_ensemble</x:v>
      </x:c>
    </x:row>
    <x:row r="165" ht="15" hidden="0" customHeight="1">
      <x:c r="A165" s="60" t="n">
        <x:v>160</x:v>
      </x:c>
      <x:c r="B165" s="60" t="n">
        <x:v>8.968086211288165</x:v>
      </x:c>
      <x:c r="C165" s="60" t="n">
        <x:v>6.140231654589794</x:v>
      </x:c>
      <x:c r="D165" s="60" t="n">
        <x:v>5.00242935271745</x:v>
      </x:c>
      <x:c r="E165" s="60" t="n">
        <x:v>2.9618487261491215</x:v>
      </x:c>
      <x:c r="F165" s="60" t="n">
        <x:v>6.327404055255471</x:v>
      </x:c>
      <x:c r="G165" s="60" t="n">
        <x:v>5.880000000000001</x:v>
      </x:c>
      <x:c r="H165" s="57" t="str">
        <x:v>modeled_latent_ensemble</x:v>
      </x:c>
    </x:row>
    <x:row r="166" ht="15" hidden="0" customHeight="1">
      <x:c r="A166" s="59" t="n">
        <x:v>161</x:v>
      </x:c>
      <x:c r="B166" s="59" t="n">
        <x:v>8.937131200313152</x:v>
      </x:c>
      <x:c r="C166" s="59" t="n">
        <x:v>5.9653262913630565</x:v>
      </x:c>
      <x:c r="D166" s="59" t="n">
        <x:v>5.336694437800354</x:v>
      </x:c>
      <x:c r="E166" s="59" t="n">
        <x:v>2.8177091939270507</x:v>
      </x:c>
      <x:c r="F166" s="59" t="n">
        <x:v>6.343138876596388</x:v>
      </x:c>
      <x:c r="G166" s="59" t="n">
        <x:v>5.880000000000001</x:v>
      </x:c>
      <x:c r="H166" s="58" t="str">
        <x:v>modeled_latent_ensemble</x:v>
      </x:c>
    </x:row>
    <x:row r="167" ht="15" hidden="0" customHeight="1">
      <x:c r="A167" s="60" t="n">
        <x:v>162</x:v>
      </x:c>
      <x:c r="B167" s="60" t="n">
        <x:v>8.86704891730895</x:v>
      </x:c>
      <x:c r="C167" s="60" t="n">
        <x:v>6.128070283852572</x:v>
      </x:c>
      <x:c r="D167" s="60" t="n">
        <x:v>5.210655661644541</x:v>
      </x:c>
      <x:c r="E167" s="60" t="n">
        <x:v>2.79277852100177</x:v>
      </x:c>
      <x:c r="F167" s="60" t="n">
        <x:v>6.4014466161921675</x:v>
      </x:c>
      <x:c r="G167" s="60" t="n">
        <x:v>5.88</x:v>
      </x:c>
      <x:c r="H167" s="57" t="str">
        <x:v>modeled_latent_ensemble</x:v>
      </x:c>
    </x:row>
    <x:row r="168" ht="15" hidden="0" customHeight="1">
      <x:c r="A168" s="59" t="n">
        <x:v>163</x:v>
      </x:c>
      <x:c r="B168" s="59" t="n">
        <x:v>8.949172870626217</x:v>
      </x:c>
      <x:c r="C168" s="59" t="n">
        <x:v>6.042939585085797</x:v>
      </x:c>
      <x:c r="D168" s="59" t="n">
        <x:v>5.232351911677033</x:v>
      </x:c>
      <x:c r="E168" s="59" t="n">
        <x:v>2.698489311548818</x:v>
      </x:c>
      <x:c r="F168" s="59" t="n">
        <x:v>6.4770463210621365</x:v>
      </x:c>
      <x:c r="G168" s="59" t="n">
        <x:v>5.880000000000001</x:v>
      </x:c>
      <x:c r="H168" s="58" t="str">
        <x:v>modeled_latent_ensemble</x:v>
      </x:c>
    </x:row>
    <x:row r="169" ht="15" hidden="0" customHeight="1">
      <x:c r="A169" s="60" t="n">
        <x:v>164</x:v>
      </x:c>
      <x:c r="B169" s="60" t="n">
        <x:v>8.747095209670292</x:v>
      </x:c>
      <x:c r="C169" s="60" t="n">
        <x:v>5.934232458216863</x:v>
      </x:c>
      <x:c r="D169" s="60" t="n">
        <x:v>4.930871036914807</x:v>
      </x:c>
      <x:c r="E169" s="60" t="n">
        <x:v>3.3641969301659396</x:v>
      </x:c>
      <x:c r="F169" s="60" t="n">
        <x:v>6.4236043650321</x:v>
      </x:c>
      <x:c r="G169" s="60" t="n">
        <x:v>5.88</x:v>
      </x:c>
      <x:c r="H169" s="57" t="str">
        <x:v>modeled_latent_ensemble</x:v>
      </x:c>
    </x:row>
    <x:row r="170" ht="15" hidden="0" customHeight="1">
      <x:c r="A170" s="59" t="n">
        <x:v>165</x:v>
      </x:c>
      <x:c r="B170" s="59" t="n">
        <x:v>8.887137139938293</x:v>
      </x:c>
      <x:c r="C170" s="59" t="n">
        <x:v>6.017558945449004</x:v>
      </x:c>
      <x:c r="D170" s="59" t="n">
        <x:v>5.114936765093636</x:v>
      </x:c>
      <x:c r="E170" s="59" t="n">
        <x:v>2.8497825941157755</x:v>
      </x:c>
      <x:c r="F170" s="59" t="n">
        <x:v>6.530584555403294</x:v>
      </x:c>
      <x:c r="G170" s="59" t="n">
        <x:v>5.880000000000001</x:v>
      </x:c>
      <x:c r="H170" s="58" t="str">
        <x:v>modeled_latent_ensemble</x:v>
      </x:c>
    </x:row>
    <x:row r="171" ht="15" hidden="0" customHeight="1">
      <x:c r="A171" s="60" t="n">
        <x:v>166</x:v>
      </x:c>
      <x:c r="B171" s="60" t="n">
        <x:v>8.915229316117706</x:v>
      </x:c>
      <x:c r="C171" s="60" t="n">
        <x:v>6.158814532605513</x:v>
      </x:c>
      <x:c r="D171" s="60" t="n">
        <x:v>5.052547620386793</x:v>
      </x:c>
      <x:c r="E171" s="60" t="n">
        <x:v>3.004402150713885</x:v>
      </x:c>
      <x:c r="F171" s="60" t="n">
        <x:v>6.269006380176103</x:v>
      </x:c>
      <x:c r="G171" s="60" t="n">
        <x:v>5.88</x:v>
      </x:c>
      <x:c r="H171" s="57" t="str">
        <x:v>modeled_latent_ensemble</x:v>
      </x:c>
    </x:row>
    <x:row r="172" ht="15" hidden="0" customHeight="1">
      <x:c r="A172" s="59" t="n">
        <x:v>167</x:v>
      </x:c>
      <x:c r="B172" s="59" t="n">
        <x:v>8.727197812157257</x:v>
      </x:c>
      <x:c r="C172" s="59" t="n">
        <x:v>5.860711624034946</x:v>
      </x:c>
      <x:c r="D172" s="59" t="n">
        <x:v>5.147003095370563</x:v>
      </x:c>
      <x:c r="E172" s="59" t="n">
        <x:v>3.2596800816385527</x:v>
      </x:c>
      <x:c r="F172" s="59" t="n">
        <x:v>6.405407386798682</x:v>
      </x:c>
      <x:c r="G172" s="59" t="n">
        <x:v>5.88</x:v>
      </x:c>
      <x:c r="H172" s="58" t="str">
        <x:v>modeled_latent_ensemble</x:v>
      </x:c>
    </x:row>
    <x:row r="173" ht="15" hidden="0" customHeight="1">
      <x:c r="A173" s="60" t="n">
        <x:v>168</x:v>
      </x:c>
      <x:c r="B173" s="60" t="n">
        <x:v>8.788244738281778</x:v>
      </x:c>
      <x:c r="C173" s="60" t="n">
        <x:v>5.873827805071851</x:v>
      </x:c>
      <x:c r="D173" s="60" t="n">
        <x:v>4.923750214514735</x:v>
      </x:c>
      <x:c r="E173" s="60" t="n">
        <x:v>3.2633301529471597</x:v>
      </x:c>
      <x:c r="F173" s="60" t="n">
        <x:v>6.550847089184478</x:v>
      </x:c>
      <x:c r="G173" s="60" t="n">
        <x:v>5.88</x:v>
      </x:c>
      <x:c r="H173" s="57" t="str">
        <x:v>modeled_latent_ensemble</x:v>
      </x:c>
    </x:row>
    <x:row r="174" ht="15" hidden="0" customHeight="1">
      <x:c r="A174" s="59" t="n">
        <x:v>169</x:v>
      </x:c>
      <x:c r="B174" s="59" t="n">
        <x:v>8.860329239715298</x:v>
      </x:c>
      <x:c r="C174" s="59" t="n">
        <x:v>5.996817896430308</x:v>
      </x:c>
      <x:c r="D174" s="59" t="n">
        <x:v>4.856037155091674</x:v>
      </x:c>
      <x:c r="E174" s="59" t="n">
        <x:v>3.2368512987195674</x:v>
      </x:c>
      <x:c r="F174" s="59" t="n">
        <x:v>6.449964410043154</x:v>
      </x:c>
      <x:c r="G174" s="59" t="n">
        <x:v>5.880000000000001</x:v>
      </x:c>
      <x:c r="H174" s="58" t="str">
        <x:v>modeled_latent_ensemble</x:v>
      </x:c>
    </x:row>
    <x:row r="175" ht="15" hidden="0" customHeight="1">
      <x:c r="A175" s="60" t="n">
        <x:v>170</x:v>
      </x:c>
      <x:c r="B175" s="60" t="n">
        <x:v>8.798918307558495</x:v>
      </x:c>
      <x:c r="C175" s="60" t="n">
        <x:v>5.907008808950731</x:v>
      </x:c>
      <x:c r="D175" s="60" t="n">
        <x:v>4.8462582491215205</x:v>
      </x:c>
      <x:c r="E175" s="60" t="n">
        <x:v>3.2827249330106207</x:v>
      </x:c>
      <x:c r="F175" s="60" t="n">
        <x:v>6.565089701358634</x:v>
      </x:c>
      <x:c r="G175" s="60" t="n">
        <x:v>5.880000000000001</x:v>
      </x:c>
      <x:c r="H175" s="57" t="str">
        <x:v>modeled_latent_ensemble</x:v>
      </x:c>
    </x:row>
    <x:row r="176" ht="15" hidden="0" customHeight="1">
      <x:c r="A176" s="59" t="n">
        <x:v>171</x:v>
      </x:c>
      <x:c r="B176" s="59" t="n">
        <x:v>8.934736370771212</x:v>
      </x:c>
      <x:c r="C176" s="59" t="n">
        <x:v>6.014535579888764</x:v>
      </x:c>
      <x:c r="D176" s="59" t="n">
        <x:v>5.1050707213562125</x:v>
      </x:c>
      <x:c r="E176" s="59" t="n">
        <x:v>3.0352039763028396</x:v>
      </x:c>
      <x:c r="F176" s="59" t="n">
        <x:v>6.310453351680973</x:v>
      </x:c>
      <x:c r="G176" s="59" t="n">
        <x:v>5.880000000000001</x:v>
      </x:c>
      <x:c r="H176" s="58" t="str">
        <x:v>modeled_latent_ensemble</x:v>
      </x:c>
    </x:row>
    <x:row r="177" ht="15" hidden="0" customHeight="1">
      <x:c r="A177" s="60" t="n">
        <x:v>172</x:v>
      </x:c>
      <x:c r="B177" s="60" t="n">
        <x:v>8.886933056891044</x:v>
      </x:c>
      <x:c r="C177" s="60" t="n">
        <x:v>5.914042560959639</x:v>
      </x:c>
      <x:c r="D177" s="60" t="n">
        <x:v>4.972137056460734</x:v>
      </x:c>
      <x:c r="E177" s="60" t="n">
        <x:v>3.284287667223394</x:v>
      </x:c>
      <x:c r="F177" s="60" t="n">
        <x:v>6.342599658465191</x:v>
      </x:c>
      <x:c r="G177" s="60" t="n">
        <x:v>5.88</x:v>
      </x:c>
      <x:c r="H177" s="57" t="str">
        <x:v>modeled_latent_ensemble</x:v>
      </x:c>
    </x:row>
    <x:row r="178" ht="15" hidden="0" customHeight="1">
      <x:c r="A178" s="59" t="n">
        <x:v>173</x:v>
      </x:c>
      <x:c r="B178" s="59" t="n">
        <x:v>8.879052705658369</x:v>
      </x:c>
      <x:c r="C178" s="59" t="n">
        <x:v>6.055997943955277</x:v>
      </x:c>
      <x:c r="D178" s="59" t="n">
        <x:v>5.039554614825649</x:v>
      </x:c>
      <x:c r="E178" s="59" t="n">
        <x:v>2.9545119924759677</x:v>
      </x:c>
      <x:c r="F178" s="59" t="n">
        <x:v>6.470882743084739</x:v>
      </x:c>
      <x:c r="G178" s="59" t="n">
        <x:v>5.880000000000001</x:v>
      </x:c>
      <x:c r="H178" s="58" t="str">
        <x:v>modeled_latent_ensemble</x:v>
      </x:c>
    </x:row>
    <x:row r="179" ht="15" hidden="0" customHeight="1">
      <x:c r="A179" s="60" t="n">
        <x:v>174</x:v>
      </x:c>
      <x:c r="B179" s="60" t="n">
        <x:v>8.843768071037504</x:v>
      </x:c>
      <x:c r="C179" s="60" t="n">
        <x:v>6.121650525455052</x:v>
      </x:c>
      <x:c r="D179" s="60" t="n">
        <x:v>5.0639546365604176</x:v>
      </x:c>
      <x:c r="E179" s="60" t="n">
        <x:v>2.959473781006284</x:v>
      </x:c>
      <x:c r="F179" s="60" t="n">
        <x:v>6.411152985940743</x:v>
      </x:c>
      <x:c r="G179" s="60" t="n">
        <x:v>5.88</x:v>
      </x:c>
      <x:c r="H179" s="57" t="str">
        <x:v>modeled_latent_ensemble</x:v>
      </x:c>
    </x:row>
    <x:row r="180" ht="15" hidden="0" customHeight="1">
      <x:c r="A180" s="59" t="n">
        <x:v>175</x:v>
      </x:c>
      <x:c r="B180" s="59" t="n">
        <x:v>8.785883461347732</x:v>
      </x:c>
      <x:c r="C180" s="59" t="n">
        <x:v>6.117499710239411</x:v>
      </x:c>
      <x:c r="D180" s="59" t="n">
        <x:v>5.136642006325437</x:v>
      </x:c>
      <x:c r="E180" s="59" t="n">
        <x:v>2.8200949083325413</x:v>
      </x:c>
      <x:c r="F180" s="59" t="n">
        <x:v>6.53987991375488</x:v>
      </x:c>
      <x:c r="G180" s="59" t="n">
        <x:v>5.880000000000001</x:v>
      </x:c>
      <x:c r="H180" s="58" t="str">
        <x:v>modeled_latent_ensemble</x:v>
      </x:c>
    </x:row>
    <x:row r="181" ht="15" hidden="0" customHeight="1">
      <x:c r="A181" s="60" t="n">
        <x:v>176</x:v>
      </x:c>
      <x:c r="B181" s="60" t="n">
        <x:v>8.7510637312455</x:v>
      </x:c>
      <x:c r="C181" s="60" t="n">
        <x:v>6.029940324544776</x:v>
      </x:c>
      <x:c r="D181" s="60" t="n">
        <x:v>4.950925894953848</x:v>
      </x:c>
      <x:c r="E181" s="60" t="n">
        <x:v>3.2665358631372947</x:v>
      </x:c>
      <x:c r="F181" s="60" t="n">
        <x:v>6.4015341861185835</x:v>
      </x:c>
      <x:c r="G181" s="60" t="n">
        <x:v>5.880000000000001</x:v>
      </x:c>
      <x:c r="H181" s="57" t="str">
        <x:v>modeled_latent_ensemble</x:v>
      </x:c>
    </x:row>
    <x:row r="182" ht="15" hidden="0" customHeight="1">
      <x:c r="A182" s="59" t="n">
        <x:v>177</x:v>
      </x:c>
      <x:c r="B182" s="59" t="n">
        <x:v>8.879973407235502</x:v>
      </x:c>
      <x:c r="C182" s="59" t="n">
        <x:v>5.912666504637818</x:v>
      </x:c>
      <x:c r="D182" s="59" t="n">
        <x:v>5.012592543953507</x:v>
      </x:c>
      <x:c r="E182" s="59" t="n">
        <x:v>3.2223250822058676</x:v>
      </x:c>
      <x:c r="F182" s="59" t="n">
        <x:v>6.372442461967307</x:v>
      </x:c>
      <x:c r="G182" s="59" t="n">
        <x:v>5.88</x:v>
      </x:c>
      <x:c r="H182" s="58" t="str">
        <x:v>modeled_latent_ensemble</x:v>
      </x:c>
    </x:row>
    <x:row r="183" ht="15" hidden="0" customHeight="1">
      <x:c r="A183" s="60" t="n">
        <x:v>178</x:v>
      </x:c>
      <x:c r="B183" s="60" t="n">
        <x:v>8.944739622431229</x:v>
      </x:c>
      <x:c r="C183" s="60" t="n">
        <x:v>5.956126242751796</x:v>
      </x:c>
      <x:c r="D183" s="60" t="n">
        <x:v>4.9829503238208686</x:v>
      </x:c>
      <x:c r="E183" s="60" t="n">
        <x:v>3.0691455959334446</x:v>
      </x:c>
      <x:c r="F183" s="60" t="n">
        <x:v>6.447038215062663</x:v>
      </x:c>
      <x:c r="G183" s="60" t="n">
        <x:v>5.880000000000001</x:v>
      </x:c>
      <x:c r="H183" s="57" t="str">
        <x:v>modeled_latent_ensemble</x:v>
      </x:c>
    </x:row>
    <x:row r="184" ht="15" hidden="0" customHeight="1">
      <x:c r="A184" s="59" t="n">
        <x:v>179</x:v>
      </x:c>
      <x:c r="B184" s="59" t="n">
        <x:v>8.979776075707424</x:v>
      </x:c>
      <x:c r="C184" s="59" t="n">
        <x:v>5.956037408833736</x:v>
      </x:c>
      <x:c r="D184" s="59" t="n">
        <x:v>5.200279154177122</x:v>
      </x:c>
      <x:c r="E184" s="59" t="n">
        <x:v>2.815626377905734</x:v>
      </x:c>
      <x:c r="F184" s="59" t="n">
        <x:v>6.4482809833759855</x:v>
      </x:c>
      <x:c r="G184" s="59" t="n">
        <x:v>5.88</x:v>
      </x:c>
      <x:c r="H184" s="58" t="str">
        <x:v>modeled_latent_ensemble</x:v>
      </x:c>
    </x:row>
    <x:row r="185" ht="15" hidden="0" customHeight="1">
      <x:c r="A185" s="60" t="n">
        <x:v>180</x:v>
      </x:c>
      <x:c r="B185" s="60" t="n">
        <x:v>9.01562973424166</x:v>
      </x:c>
      <x:c r="C185" s="60" t="n">
        <x:v>6.0854393800530495</x:v>
      </x:c>
      <x:c r="D185" s="60" t="n">
        <x:v>5.033117006643701</x:v>
      </x:c>
      <x:c r="E185" s="60" t="n">
        <x:v>2.979938366197284</x:v>
      </x:c>
      <x:c r="F185" s="60" t="n">
        <x:v>6.2858755128643065</x:v>
      </x:c>
      <x:c r="G185" s="60" t="n">
        <x:v>5.88</x:v>
      </x:c>
      <x:c r="H185" s="57" t="str">
        <x:v>modeled_latent_ensemble</x:v>
      </x:c>
    </x:row>
    <x:row r="186" ht="15" hidden="0" customHeight="1">
      <x:c r="A186" s="59" t="n">
        <x:v>181</x:v>
      </x:c>
      <x:c r="B186" s="59" t="n">
        <x:v>8.809623879419462</x:v>
      </x:c>
      <x:c r="C186" s="59" t="n">
        <x:v>5.8963534491016345</x:v>
      </x:c>
      <x:c r="D186" s="59" t="n">
        <x:v>5.028948034166179</x:v>
      </x:c>
      <x:c r="E186" s="59" t="n">
        <x:v>3.343455234964545</x:v>
      </x:c>
      <x:c r="F186" s="59" t="n">
        <x:v>6.321619402348181</x:v>
      </x:c>
      <x:c r="G186" s="59" t="n">
        <x:v>5.880000000000001</x:v>
      </x:c>
      <x:c r="H186" s="58" t="str">
        <x:v>modeled_latent_ensemble</x:v>
      </x:c>
    </x:row>
    <x:row r="187" ht="15" hidden="0" customHeight="1">
      <x:c r="A187" s="60" t="n">
        <x:v>182</x:v>
      </x:c>
      <x:c r="B187" s="60" t="n">
        <x:v>8.800354401006567</x:v>
      </x:c>
      <x:c r="C187" s="60" t="n">
        <x:v>6.050054065570994</x:v>
      </x:c>
      <x:c r="D187" s="60" t="n">
        <x:v>5.149631175888629</x:v>
      </x:c>
      <x:c r="E187" s="60" t="n">
        <x:v>2.88713208982392</x:v>
      </x:c>
      <x:c r="F187" s="60" t="n">
        <x:v>6.5128282677098905</x:v>
      </x:c>
      <x:c r="G187" s="60" t="n">
        <x:v>5.880000000000001</x:v>
      </x:c>
      <x:c r="H187" s="57" t="str">
        <x:v>modeled_latent_ensemble</x:v>
      </x:c>
    </x:row>
    <x:row r="188" ht="15" hidden="0" customHeight="1">
      <x:c r="A188" s="59" t="n">
        <x:v>183</x:v>
      </x:c>
      <x:c r="B188" s="59" t="n">
        <x:v>8.797434490141251</x:v>
      </x:c>
      <x:c r="C188" s="59" t="n">
        <x:v>5.974674567625211</x:v>
      </x:c>
      <x:c r="D188" s="59" t="n">
        <x:v>5.093836971243268</x:v>
      </x:c>
      <x:c r="E188" s="59" t="n">
        <x:v>3.1714780016677064</x:v>
      </x:c>
      <x:c r="F188" s="59" t="n">
        <x:v>6.362575969322564</x:v>
      </x:c>
      <x:c r="G188" s="59" t="n">
        <x:v>5.88</x:v>
      </x:c>
      <x:c r="H188" s="58" t="str">
        <x:v>modeled_latent_ensemble</x:v>
      </x:c>
    </x:row>
    <x:row r="189" ht="15" hidden="0" customHeight="1">
      <x:c r="A189" s="60" t="n">
        <x:v>184</x:v>
      </x:c>
      <x:c r="B189" s="60" t="n">
        <x:v>9.000753968713203</x:v>
      </x:c>
      <x:c r="C189" s="60" t="n">
        <x:v>6.094891552172033</x:v>
      </x:c>
      <x:c r="D189" s="60" t="n">
        <x:v>5.125050047571821</x:v>
      </x:c>
      <x:c r="E189" s="60" t="n">
        <x:v>2.695615643680231</x:v>
      </x:c>
      <x:c r="F189" s="60" t="n">
        <x:v>6.483688787862713</x:v>
      </x:c>
      <x:c r="G189" s="60" t="n">
        <x:v>5.88</x:v>
      </x:c>
      <x:c r="H189" s="57" t="str">
        <x:v>modeled_latent_ensemble</x:v>
      </x:c>
    </x:row>
    <x:row r="190" ht="15" hidden="0" customHeight="1">
      <x:c r="A190" s="59" t="n">
        <x:v>185</x:v>
      </x:c>
      <x:c r="B190" s="59" t="n">
        <x:v>8.866233359033156</x:v>
      </x:c>
      <x:c r="C190" s="59" t="n">
        <x:v>6.137871640934284</x:v>
      </x:c>
      <x:c r="D190" s="59" t="n">
        <x:v>4.9828036047625135</x:v>
      </x:c>
      <x:c r="E190" s="59" t="n">
        <x:v>3.0099928844334882</x:v>
      </x:c>
      <x:c r="F190" s="59" t="n">
        <x:v>6.403098510836559</x:v>
      </x:c>
      <x:c r="G190" s="59" t="n">
        <x:v>5.88</x:v>
      </x:c>
      <x:c r="H190" s="58" t="str">
        <x:v>modeled_latent_ensemble</x:v>
      </x:c>
    </x:row>
    <x:row r="191" ht="15" hidden="0" customHeight="1">
      <x:c r="A191" s="60" t="n">
        <x:v>186</x:v>
      </x:c>
      <x:c r="B191" s="60" t="n">
        <x:v>8.973755494892114</x:v>
      </x:c>
      <x:c r="C191" s="60" t="n">
        <x:v>6.1998134450025315</x:v>
      </x:c>
      <x:c r="D191" s="60" t="n">
        <x:v>5.261588507793962</x:v>
      </x:c>
      <x:c r="E191" s="60" t="n">
        <x:v>2.4358964942398957</x:v>
      </x:c>
      <x:c r="F191" s="60" t="n">
        <x:v>6.528946058071498</x:v>
      </x:c>
      <x:c r="G191" s="60" t="n">
        <x:v>5.88</x:v>
      </x:c>
      <x:c r="H191" s="57" t="str">
        <x:v>modeled_latent_ensemble</x:v>
      </x:c>
    </x:row>
    <x:row r="192" ht="15" hidden="0" customHeight="1">
      <x:c r="A192" s="59" t="n">
        <x:v>187</x:v>
      </x:c>
      <x:c r="B192" s="59" t="n">
        <x:v>8.761350895299952</x:v>
      </x:c>
      <x:c r="C192" s="59" t="n">
        <x:v>5.983368870160091</x:v>
      </x:c>
      <x:c r="D192" s="59" t="n">
        <x:v>4.88226861024029</x:v>
      </x:c>
      <x:c r="E192" s="59" t="n">
        <x:v>3.3870057882158604</x:v>
      </x:c>
      <x:c r="F192" s="59" t="n">
        <x:v>6.386005836083808</x:v>
      </x:c>
      <x:c r="G192" s="59" t="n">
        <x:v>5.880000000000001</x:v>
      </x:c>
      <x:c r="H192" s="58" t="str">
        <x:v>modeled_latent_ensemble</x:v>
      </x:c>
    </x:row>
    <x:row r="193" ht="15" hidden="0" customHeight="1">
      <x:c r="A193" s="60" t="n">
        <x:v>188</x:v>
      </x:c>
      <x:c r="B193" s="60" t="n">
        <x:v>8.834076950708091</x:v>
      </x:c>
      <x:c r="C193" s="60" t="n">
        <x:v>6.019679489487841</x:v>
      </x:c>
      <x:c r="D193" s="60" t="n">
        <x:v>4.9465599270923315</x:v>
      </x:c>
      <x:c r="E193" s="60" t="n">
        <x:v>3.2950835945691623</x:v>
      </x:c>
      <x:c r="F193" s="60" t="n">
        <x:v>6.304600038142575</x:v>
      </x:c>
      <x:c r="G193" s="60" t="n">
        <x:v>5.880000000000001</x:v>
      </x:c>
      <x:c r="H193" s="57" t="str">
        <x:v>modeled_latent_ensemble</x:v>
      </x:c>
    </x:row>
    <x:row r="194" ht="15" hidden="0" customHeight="1">
      <x:c r="A194" s="59" t="n">
        <x:v>189</x:v>
      </x:c>
      <x:c r="B194" s="59" t="n">
        <x:v>8.933597975372367</x:v>
      </x:c>
      <x:c r="C194" s="59" t="n">
        <x:v>6.087216738017444</x:v>
      </x:c>
      <x:c r="D194" s="59" t="n">
        <x:v>5.206294845477513</x:v>
      </x:c>
      <x:c r="E194" s="59" t="n">
        <x:v>2.687681930280618</x:v>
      </x:c>
      <x:c r="F194" s="59" t="n">
        <x:v>6.48520851085206</x:v>
      </x:c>
      <x:c r="G194" s="59" t="n">
        <x:v>5.880000000000001</x:v>
      </x:c>
      <x:c r="H194" s="58" t="str">
        <x:v>modeled_latent_ensemble</x:v>
      </x:c>
    </x:row>
    <x:row r="195" ht="15" hidden="0" customHeight="1">
      <x:c r="A195" s="60" t="n">
        <x:v>190</x:v>
      </x:c>
      <x:c r="B195" s="60" t="n">
        <x:v>8.789783175119464</x:v>
      </x:c>
      <x:c r="C195" s="60" t="n">
        <x:v>5.978718436564379</x:v>
      </x:c>
      <x:c r="D195" s="60" t="n">
        <x:v>5.051968209801374</x:v>
      </x:c>
      <x:c r="E195" s="60" t="n">
        <x:v>3.0676878662969083</x:v>
      </x:c>
      <x:c r="F195" s="60" t="n">
        <x:v>6.511842312217875</x:v>
      </x:c>
      <x:c r="G195" s="60" t="n">
        <x:v>5.88</x:v>
      </x:c>
      <x:c r="H195" s="57" t="str">
        <x:v>modeled_latent_ensemble</x:v>
      </x:c>
    </x:row>
    <x:row r="196" ht="15" hidden="0" customHeight="1">
      <x:c r="A196" s="59" t="n">
        <x:v>191</x:v>
      </x:c>
      <x:c r="B196" s="59" t="n">
        <x:v>9.013852063268027</x:v>
      </x:c>
      <x:c r="C196" s="59" t="n">
        <x:v>5.939168006159567</x:v>
      </x:c>
      <x:c r="D196" s="59" t="n">
        <x:v>4.816827852936746</x:v>
      </x:c>
      <x:c r="E196" s="59" t="n">
        <x:v>3.4294867897006673</x:v>
      </x:c>
      <x:c r="F196" s="59" t="n">
        <x:v>6.200665287934994</x:v>
      </x:c>
      <x:c r="G196" s="59" t="n">
        <x:v>5.880000000000001</x:v>
      </x:c>
      <x:c r="H196" s="58" t="str">
        <x:v>modeled_latent_ensemble</x:v>
      </x:c>
    </x:row>
    <x:row r="197" ht="15" hidden="0" customHeight="1">
      <x:c r="A197" s="60" t="n">
        <x:v>192</x:v>
      </x:c>
      <x:c r="B197" s="60" t="n">
        <x:v>8.895789679149201</x:v>
      </x:c>
      <x:c r="C197" s="60" t="n">
        <x:v>6.17080522329623</x:v>
      </x:c>
      <x:c r="D197" s="60" t="n">
        <x:v>5.0836463141399335</x:v>
      </x:c>
      <x:c r="E197" s="60" t="n">
        <x:v>2.72206159093288</x:v>
      </x:c>
      <x:c r="F197" s="60" t="n">
        <x:v>6.527697192481757</x:v>
      </x:c>
      <x:c r="G197" s="60" t="n">
        <x:v>5.880000000000001</x:v>
      </x:c>
      <x:c r="H197" s="57" t="str">
        <x:v>modeled_latent_ensemble</x:v>
      </x:c>
    </x:row>
    <x:row r="198" ht="15" hidden="0" customHeight="1">
      <x:c r="A198" s="59" t="n">
        <x:v>193</x:v>
      </x:c>
      <x:c r="B198" s="59" t="n">
        <x:v>8.789933984041838</x:v>
      </x:c>
      <x:c r="C198" s="59" t="n">
        <x:v>5.971798497959134</x:v>
      </x:c>
      <x:c r="D198" s="59" t="n">
        <x:v>4.91823847805732</x:v>
      </x:c>
      <x:c r="E198" s="59" t="n">
        <x:v>3.384842712982198</x:v>
      </x:c>
      <x:c r="F198" s="59" t="n">
        <x:v>6.335186326959512</x:v>
      </x:c>
      <x:c r="G198" s="59" t="n">
        <x:v>5.880000000000001</x:v>
      </x:c>
      <x:c r="H198" s="58" t="str">
        <x:v>modeled_latent_ensemble</x:v>
      </x:c>
    </x:row>
    <x:row r="199" ht="15" hidden="0" customHeight="1">
      <x:c r="A199" s="60" t="n">
        <x:v>194</x:v>
      </x:c>
      <x:c r="B199" s="60" t="n">
        <x:v>8.865641138529957</x:v>
      </x:c>
      <x:c r="C199" s="60" t="n">
        <x:v>5.9199291997814445</x:v>
      </x:c>
      <x:c r="D199" s="60" t="n">
        <x:v>5.209842401184905</x:v>
      </x:c>
      <x:c r="E199" s="60" t="n">
        <x:v>2.8461506879631298</x:v>
      </x:c>
      <x:c r="F199" s="60" t="n">
        <x:v>6.558436572540565</x:v>
      </x:c>
      <x:c r="G199" s="60" t="n">
        <x:v>5.88</x:v>
      </x:c>
      <x:c r="H199" s="57" t="str">
        <x:v>modeled_latent_ensemble</x:v>
      </x:c>
    </x:row>
    <x:row r="200" ht="15" hidden="0" customHeight="1">
      <x:c r="A200" s="59" t="n">
        <x:v>195</x:v>
      </x:c>
      <x:c r="B200" s="59" t="n">
        <x:v>8.897624058091186</x:v>
      </x:c>
      <x:c r="C200" s="59" t="n">
        <x:v>5.9559252766758055</x:v>
      </x:c>
      <x:c r="D200" s="59" t="n">
        <x:v>5.212380976081363</x:v>
      </x:c>
      <x:c r="E200" s="59" t="n">
        <x:v>2.919870610020874</x:v>
      </x:c>
      <x:c r="F200" s="59" t="n">
        <x:v>6.414199079130774</x:v>
      </x:c>
      <x:c r="G200" s="59" t="n">
        <x:v>5.880000000000001</x:v>
      </x:c>
      <x:c r="H200" s="58" t="str">
        <x:v>modeled_latent_ensemble</x:v>
      </x:c>
    </x:row>
    <x:row r="201" ht="15" hidden="0" customHeight="1">
      <x:c r="A201" s="60" t="n">
        <x:v>196</x:v>
      </x:c>
      <x:c r="B201" s="60" t="n">
        <x:v>8.913562569067883</x:v>
      </x:c>
      <x:c r="C201" s="60" t="n">
        <x:v>6.042455598948627</x:v>
      </x:c>
      <x:c r="D201" s="60" t="n">
        <x:v>5.108706289851843</x:v>
      </x:c>
      <x:c r="E201" s="60" t="n">
        <x:v>2.76868421497624</x:v>
      </x:c>
      <x:c r="F201" s="60" t="n">
        <x:v>6.566591327155408</x:v>
      </x:c>
      <x:c r="G201" s="60" t="n">
        <x:v>5.88</x:v>
      </x:c>
      <x:c r="H201" s="57" t="str">
        <x:v>modeled_latent_ensemble</x:v>
      </x:c>
    </x:row>
    <x:row r="202" ht="15" hidden="0" customHeight="1">
      <x:c r="A202" s="59" t="n">
        <x:v>197</x:v>
      </x:c>
      <x:c r="B202" s="59" t="n">
        <x:v>8.997683744585427</x:v>
      </x:c>
      <x:c r="C202" s="59" t="n">
        <x:v>6.1241641102492945</x:v>
      </x:c>
      <x:c r="D202" s="59" t="n">
        <x:v>5.234732941269601</x:v>
      </x:c>
      <x:c r="E202" s="59" t="n">
        <x:v>2.5782221099519833</x:v>
      </x:c>
      <x:c r="F202" s="59" t="n">
        <x:v>6.465197093943695</x:v>
      </x:c>
      <x:c r="G202" s="59" t="n">
        <x:v>5.88</x:v>
      </x:c>
      <x:c r="H202" s="58" t="str">
        <x:v>modeled_latent_ensemble</x:v>
      </x:c>
    </x:row>
    <x:row r="203" ht="15" hidden="0" customHeight="1">
      <x:c r="A203" s="60" t="n">
        <x:v>198</x:v>
      </x:c>
      <x:c r="B203" s="60" t="n">
        <x:v>8.771165010087469</x:v>
      </x:c>
      <x:c r="C203" s="60" t="n">
        <x:v>6.029237988147547</x:v>
      </x:c>
      <x:c r="D203" s="60" t="n">
        <x:v>4.949597347679904</x:v>
      </x:c>
      <x:c r="E203" s="60" t="n">
        <x:v>3.4049330571247585</x:v>
      </x:c>
      <x:c r="F203" s="60" t="n">
        <x:v>6.2450665969603225</x:v>
      </x:c>
      <x:c r="G203" s="60" t="n">
        <x:v>5.88</x:v>
      </x:c>
      <x:c r="H203" s="57" t="str">
        <x:v>modeled_latent_ensemble</x:v>
      </x:c>
    </x:row>
    <x:row r="204" ht="15" hidden="0" customHeight="1">
      <x:c r="A204" s="59" t="n">
        <x:v>199</x:v>
      </x:c>
      <x:c r="B204" s="59" t="n">
        <x:v>8.860329228921966</x:v>
      </x:c>
      <x:c r="C204" s="59" t="n">
        <x:v>5.876476578348864</x:v>
      </x:c>
      <x:c r="D204" s="59" t="n">
        <x:v>5.1553407539514176</x:v>
      </x:c>
      <x:c r="E204" s="59" t="n">
        <x:v>2.9439741128627026</x:v>
      </x:c>
      <x:c r="F204" s="59" t="n">
        <x:v>6.563879325915051</x:v>
      </x:c>
      <x:c r="G204" s="59" t="n">
        <x:v>5.88</x:v>
      </x:c>
      <x:c r="H204" s="58" t="str">
        <x:v>modeled_latent_ensemble</x:v>
      </x:c>
    </x:row>
    <x:row r="205" ht="15" hidden="0" customHeight="1">
      <x:c r="A205" s="60" t="n">
        <x:v>200</x:v>
      </x:c>
      <x:c r="B205" s="60" t="n">
        <x:v>8.958354264806305</x:v>
      </x:c>
      <x:c r="C205" s="60" t="n">
        <x:v>6.099017396113063</x:v>
      </x:c>
      <x:c r="D205" s="60" t="n">
        <x:v>5.086331656715071</x:v>
      </x:c>
      <x:c r="E205" s="60" t="n">
        <x:v>3.11576056455548</x:v>
      </x:c>
      <x:c r="F205" s="60" t="n">
        <x:v>6.140536117810082</x:v>
      </x:c>
      <x:c r="G205" s="60" t="n">
        <x:v>5.880000000000001</x:v>
      </x:c>
      <x:c r="H205" s="57" t="str">
        <x:v>modeled_latent_ensemble</x:v>
      </x:c>
    </x:row>
    <x:row r="206" ht="15" hidden="0" customHeight="1">
      <x:c r="A206" s="59" t="n">
        <x:v>201</x:v>
      </x:c>
      <x:c r="B206" s="59" t="n">
        <x:v>8.872172728265998</x:v>
      </x:c>
      <x:c r="C206" s="59" t="n">
        <x:v>6.014474825279306</x:v>
      </x:c>
      <x:c r="D206" s="59" t="n">
        <x:v>5.235247286878832</x:v>
      </x:c>
      <x:c r="E206" s="59" t="n">
        <x:v>2.859823358352125</x:v>
      </x:c>
      <x:c r="F206" s="59" t="n">
        <x:v>6.418281801223741</x:v>
      </x:c>
      <x:c r="G206" s="59" t="n">
        <x:v>5.880000000000001</x:v>
      </x:c>
      <x:c r="H206" s="58" t="str">
        <x:v>modeled_latent_ensemble</x:v>
      </x:c>
    </x:row>
    <x:row r="207" ht="15" hidden="0" customHeight="1">
      <x:c r="A207" s="60" t="n">
        <x:v>202</x:v>
      </x:c>
      <x:c r="B207" s="60" t="n">
        <x:v>8.897365980581245</x:v>
      </x:c>
      <x:c r="C207" s="60" t="n">
        <x:v>6.069481361717735</x:v>
      </x:c>
      <x:c r="D207" s="60" t="n">
        <x:v>5.008854598597237</x:v>
      </x:c>
      <x:c r="E207" s="60" t="n">
        <x:v>3.1299991437720136</x:v>
      </x:c>
      <x:c r="F207" s="60" t="n">
        <x:v>6.294298915331771</x:v>
      </x:c>
      <x:c r="G207" s="60" t="n">
        <x:v>5.88</x:v>
      </x:c>
      <x:c r="H207" s="57" t="str">
        <x:v>modeled_latent_ensemble</x:v>
      </x:c>
    </x:row>
    <x:row r="208" ht="15" hidden="0" customHeight="1">
      <x:c r="A208" s="59" t="n">
        <x:v>203</x:v>
      </x:c>
      <x:c r="B208" s="59" t="n">
        <x:v>8.997133721676699</x:v>
      </x:c>
      <x:c r="C208" s="59" t="n">
        <x:v>6.032495647896992</x:v>
      </x:c>
      <x:c r="D208" s="59" t="n">
        <x:v>5.039875311343657</x:v>
      </x:c>
      <x:c r="E208" s="59" t="n">
        <x:v>3.088320943720119</x:v>
      </x:c>
      <x:c r="F208" s="59" t="n">
        <x:v>6.242174375362534</x:v>
      </x:c>
      <x:c r="G208" s="59" t="n">
        <x:v>5.880000000000001</x:v>
      </x:c>
      <x:c r="H208" s="58" t="str">
        <x:v>modeled_latent_ensemble</x:v>
      </x:c>
    </x:row>
    <x:row r="209" ht="15" hidden="0" customHeight="1">
      <x:c r="A209" s="60" t="n">
        <x:v>204</x:v>
      </x:c>
      <x:c r="B209" s="60" t="n">
        <x:v>8.98938119171285</x:v>
      </x:c>
      <x:c r="C209" s="60" t="n">
        <x:v>6.014698875986563</x:v>
      </x:c>
      <x:c r="D209" s="60" t="n">
        <x:v>5.171357094399816</x:v>
      </x:c>
      <x:c r="E209" s="60" t="n">
        <x:v>2.902598416769332</x:v>
      </x:c>
      <x:c r="F209" s="60" t="n">
        <x:v>6.321964421131439</x:v>
      </x:c>
      <x:c r="G209" s="60" t="n">
        <x:v>5.880000000000001</x:v>
      </x:c>
      <x:c r="H209" s="57" t="str">
        <x:v>modeled_latent_ensemble</x:v>
      </x:c>
    </x:row>
    <x:row r="210" ht="15" hidden="0" customHeight="1">
      <x:c r="A210" s="59" t="n">
        <x:v>205</x:v>
      </x:c>
      <x:c r="B210" s="59" t="n">
        <x:v>8.763819959567465</x:v>
      </x:c>
      <x:c r="C210" s="59" t="n">
        <x:v>5.913273642046083</x:v>
      </x:c>
      <x:c r="D210" s="59" t="n">
        <x:v>5.096083508599619</x:v>
      </x:c>
      <x:c r="E210" s="59" t="n">
        <x:v>3.247878079520886</x:v>
      </x:c>
      <x:c r="F210" s="59" t="n">
        <x:v>6.378944810265947</x:v>
      </x:c>
      <x:c r="G210" s="59" t="n">
        <x:v>5.880000000000001</x:v>
      </x:c>
      <x:c r="H210" s="58" t="str">
        <x:v>modeled_latent_ensemble</x:v>
      </x:c>
    </x:row>
    <x:row r="211" ht="15" hidden="0" customHeight="1">
      <x:c r="A211" s="60" t="n">
        <x:v>206</x:v>
      </x:c>
      <x:c r="B211" s="60" t="n">
        <x:v>8.875427545468922</x:v>
      </x:c>
      <x:c r="C211" s="60" t="n">
        <x:v>6.045588935924137</x:v>
      </x:c>
      <x:c r="D211" s="60" t="n">
        <x:v>5.014969901923993</x:v>
      </x:c>
      <x:c r="E211" s="60" t="n">
        <x:v>3.103432384148223</x:v>
      </x:c>
      <x:c r="F211" s="60" t="n">
        <x:v>6.360581232534726</x:v>
      </x:c>
      <x:c r="G211" s="60" t="n">
        <x:v>5.880000000000001</x:v>
      </x:c>
      <x:c r="H211" s="57" t="str">
        <x:v>modeled_latent_ensemble</x:v>
      </x:c>
    </x:row>
    <x:row r="212" ht="15" hidden="0" customHeight="1">
      <x:c r="A212" s="59" t="n">
        <x:v>207</x:v>
      </x:c>
      <x:c r="B212" s="59" t="n">
        <x:v>9.03731138890783</x:v>
      </x:c>
      <x:c r="C212" s="59" t="n">
        <x:v>6.199276113890354</x:v>
      </x:c>
      <x:c r="D212" s="59" t="n">
        <x:v>5.071253543031498</x:v>
      </x:c>
      <x:c r="E212" s="59" t="n">
        <x:v>2.5603582712547213</x:v>
      </x:c>
      <x:c r="F212" s="59" t="n">
        <x:v>6.531800682915598</x:v>
      </x:c>
      <x:c r="G212" s="59" t="n">
        <x:v>5.880000000000001</x:v>
      </x:c>
      <x:c r="H212" s="58" t="str">
        <x:v>modeled_latent_ensemble</x:v>
      </x:c>
    </x:row>
    <x:row r="213" ht="15" hidden="0" customHeight="1">
      <x:c r="A213" s="60" t="n">
        <x:v>208</x:v>
      </x:c>
      <x:c r="B213" s="60" t="n">
        <x:v>8.79988635950129</x:v>
      </x:c>
      <x:c r="C213" s="60" t="n">
        <x:v>5.952964742742507</x:v>
      </x:c>
      <x:c r="D213" s="60" t="n">
        <x:v>5.215378604658709</x:v>
      </x:c>
      <x:c r="E213" s="60" t="n">
        <x:v>2.9774532381801637</x:v>
      </x:c>
      <x:c r="F213" s="60" t="n">
        <x:v>6.454317054917332</x:v>
      </x:c>
      <x:c r="G213" s="60" t="n">
        <x:v>5.880000000000001</x:v>
      </x:c>
      <x:c r="H213" s="57" t="str">
        <x:v>modeled_latent_ensemble</x:v>
      </x:c>
    </x:row>
    <x:row r="214" ht="15" hidden="0" customHeight="1">
      <x:c r="A214" s="59" t="n">
        <x:v>209</x:v>
      </x:c>
      <x:c r="B214" s="59" t="n">
        <x:v>8.8368073256841</x:v>
      </x:c>
      <x:c r="C214" s="59" t="n">
        <x:v>5.9668091483526595</x:v>
      </x:c>
      <x:c r="D214" s="59" t="n">
        <x:v>5.227430361770867</x:v>
      </x:c>
      <x:c r="E214" s="59" t="n">
        <x:v>3.146350310376348</x:v>
      </x:c>
      <x:c r="F214" s="59" t="n">
        <x:v>6.222602853816027</x:v>
      </x:c>
      <x:c r="G214" s="59" t="n">
        <x:v>5.880000000000001</x:v>
      </x:c>
      <x:c r="H214" s="58" t="str">
        <x:v>modeled_latent_ensemble</x:v>
      </x:c>
    </x:row>
    <x:row r="215" ht="15" hidden="0" customHeight="1">
      <x:c r="A215" s="60" t="n">
        <x:v>210</x:v>
      </x:c>
      <x:c r="B215" s="60" t="n">
        <x:v>8.922227478220883</x:v>
      </x:c>
      <x:c r="C215" s="60" t="n">
        <x:v>6.038303270577277</x:v>
      </x:c>
      <x:c r="D215" s="60" t="n">
        <x:v>5.075242848644692</x:v>
      </x:c>
      <x:c r="E215" s="60" t="n">
        <x:v>3.056291317431525</x:v>
      </x:c>
      <x:c r="F215" s="60" t="n">
        <x:v>6.307935085125626</x:v>
      </x:c>
      <x:c r="G215" s="60" t="n">
        <x:v>5.880000000000001</x:v>
      </x:c>
      <x:c r="H215" s="57" t="str">
        <x:v>modeled_latent_ensemble</x:v>
      </x:c>
    </x:row>
    <x:row r="216" ht="15" hidden="0" customHeight="1">
      <x:c r="A216" s="59" t="n">
        <x:v>211</x:v>
      </x:c>
      <x:c r="B216" s="59" t="n">
        <x:v>8.874190330437408</x:v>
      </x:c>
      <x:c r="C216" s="59" t="n">
        <x:v>6.0692758843479035</x:v>
      </x:c>
      <x:c r="D216" s="59" t="n">
        <x:v>5.116277271085938</x:v>
      </x:c>
      <x:c r="E216" s="59" t="n">
        <x:v>2.949880079996116</x:v>
      </x:c>
      <x:c r="F216" s="59" t="n">
        <x:v>6.3903764341326355</x:v>
      </x:c>
      <x:c r="G216" s="59" t="n">
        <x:v>5.88</x:v>
      </x:c>
      <x:c r="H216" s="58" t="str">
        <x:v>modeled_latent_ensemble</x:v>
      </x:c>
    </x:row>
    <x:row r="217" ht="15" hidden="0" customHeight="1">
      <x:c r="A217" s="60" t="n">
        <x:v>212</x:v>
      </x:c>
      <x:c r="B217" s="60" t="n">
        <x:v>8.878216172865033</x:v>
      </x:c>
      <x:c r="C217" s="60" t="n">
        <x:v>5.896953163915629</x:v>
      </x:c>
      <x:c r="D217" s="60" t="n">
        <x:v>5.161070599009261</x:v>
      </x:c>
      <x:c r="E217" s="60" t="n">
        <x:v>3.0755588679147783</x:v>
      </x:c>
      <x:c r="F217" s="60" t="n">
        <x:v>6.3882011962953005</x:v>
      </x:c>
      <x:c r="G217" s="60" t="n">
        <x:v>5.880000000000001</x:v>
      </x:c>
      <x:c r="H217" s="57" t="str">
        <x:v>modeled_latent_ensemble</x:v>
      </x:c>
    </x:row>
    <x:row r="218" ht="15" hidden="0" customHeight="1">
      <x:c r="A218" s="59" t="n">
        <x:v>213</x:v>
      </x:c>
      <x:c r="B218" s="59" t="n">
        <x:v>9.025388906011713</x:v>
      </x:c>
      <x:c r="C218" s="59" t="n">
        <x:v>6.0110192426945375</x:v>
      </x:c>
      <x:c r="D218" s="59" t="n">
        <x:v>5.151993318292882</x:v>
      </x:c>
      <x:c r="E218" s="59" t="n">
        <x:v>2.696416090820161</x:v>
      </x:c>
      <x:c r="F218" s="59" t="n">
        <x:v>6.515182442180707</x:v>
      </x:c>
      <x:c r="G218" s="59" t="n">
        <x:v>5.88</x:v>
      </x:c>
      <x:c r="H218" s="58" t="str">
        <x:v>modeled_latent_ensemble</x:v>
      </x:c>
    </x:row>
    <x:row r="219" ht="15" hidden="0" customHeight="1">
      <x:c r="A219" s="60" t="n">
        <x:v>214</x:v>
      </x:c>
      <x:c r="B219" s="60" t="n">
        <x:v>8.848751996982546</x:v>
      </x:c>
      <x:c r="C219" s="60" t="n">
        <x:v>5.997437857977116</x:v>
      </x:c>
      <x:c r="D219" s="60" t="n">
        <x:v>5.130848520949439</x:v>
      </x:c>
      <x:c r="E219" s="60" t="n">
        <x:v>2.948306826968464</x:v>
      </x:c>
      <x:c r="F219" s="60" t="n">
        <x:v>6.474654797122436</x:v>
      </x:c>
      <x:c r="G219" s="60" t="n">
        <x:v>5.880000000000001</x:v>
      </x:c>
      <x:c r="H219" s="57" t="str">
        <x:v>modeled_latent_ensemble</x:v>
      </x:c>
    </x:row>
    <x:row r="220" ht="15" hidden="0" customHeight="1">
      <x:c r="A220" s="59" t="n">
        <x:v>215</x:v>
      </x:c>
      <x:c r="B220" s="59" t="n">
        <x:v>8.910057309519976</x:v>
      </x:c>
      <x:c r="C220" s="59" t="n">
        <x:v>6.162180701960754</x:v>
      </x:c>
      <x:c r="D220" s="59" t="n">
        <x:v>4.990607237737138</x:v>
      </x:c>
      <x:c r="E220" s="59" t="n">
        <x:v>2.9871451314539317</x:v>
      </x:c>
      <x:c r="F220" s="59" t="n">
        <x:v>6.3500096193282</x:v>
      </x:c>
      <x:c r="G220" s="59" t="n">
        <x:v>5.880000000000001</x:v>
      </x:c>
      <x:c r="H220" s="58" t="str">
        <x:v>modeled_latent_ensemble</x:v>
      </x:c>
    </x:row>
    <x:row r="221" ht="15" hidden="0" customHeight="1">
      <x:c r="A221" s="60" t="n">
        <x:v>216</x:v>
      </x:c>
      <x:c r="B221" s="60" t="n">
        <x:v>8.901763434274535</x:v>
      </x:c>
      <x:c r="C221" s="60" t="n">
        <x:v>6.058950854972519</x:v>
      </x:c>
      <x:c r="D221" s="60" t="n">
        <x:v>4.975696398249615</x:v>
      </x:c>
      <x:c r="E221" s="60" t="n">
        <x:v>2.8549826271406227</x:v>
      </x:c>
      <x:c r="F221" s="60" t="n">
        <x:v>6.608606685362709</x:v>
      </x:c>
      <x:c r="G221" s="60" t="n">
        <x:v>5.88</x:v>
      </x:c>
      <x:c r="H221" s="57" t="str">
        <x:v>modeled_latent_ensemble</x:v>
      </x:c>
    </x:row>
    <x:row r="222" ht="15" hidden="0" customHeight="1">
      <x:c r="A222" s="59" t="n">
        <x:v>217</x:v>
      </x:c>
      <x:c r="B222" s="59" t="n">
        <x:v>8.977435262692973</x:v>
      </x:c>
      <x:c r="C222" s="59" t="n">
        <x:v>6.055629083053113</x:v>
      </x:c>
      <x:c r="D222" s="59" t="n">
        <x:v>4.816770940681075</x:v>
      </x:c>
      <x:c r="E222" s="59" t="n">
        <x:v>3.114331183584759</x:v>
      </x:c>
      <x:c r="F222" s="59" t="n">
        <x:v>6.43583352998808</x:v>
      </x:c>
      <x:c r="G222" s="59" t="n">
        <x:v>5.880000000000001</x:v>
      </x:c>
      <x:c r="H222" s="58" t="str">
        <x:v>modeled_latent_ensemble</x:v>
      </x:c>
    </x:row>
    <x:row r="223" ht="15" hidden="0" customHeight="1">
      <x:c r="A223" s="60" t="n">
        <x:v>218</x:v>
      </x:c>
      <x:c r="B223" s="60" t="n">
        <x:v>8.803077913884822</x:v>
      </x:c>
      <x:c r="C223" s="60" t="n">
        <x:v>5.895462845551483</x:v>
      </x:c>
      <x:c r="D223" s="60" t="n">
        <x:v>4.925009490219503</x:v>
      </x:c>
      <x:c r="E223" s="60" t="n">
        <x:v>3.3310014660444627</x:v>
      </x:c>
      <x:c r="F223" s="60" t="n">
        <x:v>6.4454482842997285</x:v>
      </x:c>
      <x:c r="G223" s="60" t="n">
        <x:v>5.88</x:v>
      </x:c>
      <x:c r="H223" s="57" t="str">
        <x:v>modeled_latent_ensemble</x:v>
      </x:c>
    </x:row>
    <x:row r="224" ht="15" hidden="0" customHeight="1">
      <x:c r="A224" s="59" t="n">
        <x:v>219</x:v>
      </x:c>
      <x:c r="B224" s="59" t="n">
        <x:v>8.799057260073953</x:v>
      </x:c>
      <x:c r="C224" s="59" t="n">
        <x:v>6.145586377161841</x:v>
      </x:c>
      <x:c r="D224" s="59" t="n">
        <x:v>5.311715796867311</x:v>
      </x:c>
      <x:c r="E224" s="59" t="n">
        <x:v>2.935468104558142</x:v>
      </x:c>
      <x:c r="F224" s="59" t="n">
        <x:v>6.208172461338755</x:v>
      </x:c>
      <x:c r="G224" s="59" t="n">
        <x:v>5.88</x:v>
      </x:c>
      <x:c r="H224" s="58" t="str">
        <x:v>modeled_latent_ensemble</x:v>
      </x:c>
    </x:row>
    <x:row r="225" ht="15" hidden="0" customHeight="1">
      <x:c r="A225" s="60" t="n">
        <x:v>220</x:v>
      </x:c>
      <x:c r="B225" s="60" t="n">
        <x:v>8.930599784749978</x:v>
      </x:c>
      <x:c r="C225" s="60" t="n">
        <x:v>6.125404719539213</x:v>
      </x:c>
      <x:c r="D225" s="60" t="n">
        <x:v>5.098003603561207</x:v>
      </x:c>
      <x:c r="E225" s="60" t="n">
        <x:v>2.8249286494031507</x:v>
      </x:c>
      <x:c r="F225" s="60" t="n">
        <x:v>6.4210632427464525</x:v>
      </x:c>
      <x:c r="G225" s="60" t="n">
        <x:v>5.880000000000001</x:v>
      </x:c>
      <x:c r="H225" s="57" t="str">
        <x:v>modeled_latent_ensemble</x:v>
      </x:c>
    </x:row>
    <x:row r="226" ht="15" hidden="0" customHeight="1">
      <x:c r="A226" s="59" t="n">
        <x:v>221</x:v>
      </x:c>
      <x:c r="B226" s="59" t="n">
        <x:v>8.86267259757522</x:v>
      </x:c>
      <x:c r="C226" s="59" t="n">
        <x:v>6.1634050393377775</x:v>
      </x:c>
      <x:c r="D226" s="59" t="n">
        <x:v>5.1912044772179415</x:v>
      </x:c>
      <x:c r="E226" s="59" t="n">
        <x:v>2.7608103933563015</x:v>
      </x:c>
      <x:c r="F226" s="59" t="n">
        <x:v>6.42190749251276</x:v>
      </x:c>
      <x:c r="G226" s="59" t="n">
        <x:v>5.88</x:v>
      </x:c>
      <x:c r="H226" s="58" t="str">
        <x:v>modeled_latent_ensemble</x:v>
      </x:c>
    </x:row>
    <x:row r="227" ht="15" hidden="0" customHeight="1">
      <x:c r="A227" s="60" t="n">
        <x:v>222</x:v>
      </x:c>
      <x:c r="B227" s="60" t="n">
        <x:v>8.918041070480152</x:v>
      </x:c>
      <x:c r="C227" s="60" t="n">
        <x:v>6.0331075227094795</x:v>
      </x:c>
      <x:c r="D227" s="60" t="n">
        <x:v>4.941091768497285</x:v>
      </x:c>
      <x:c r="E227" s="60" t="n">
        <x:v>2.9150423856063266</x:v>
      </x:c>
      <x:c r="F227" s="60" t="n">
        <x:v>6.592717252706759</x:v>
      </x:c>
      <x:c r="G227" s="60" t="n">
        <x:v>5.880000000000001</x:v>
      </x:c>
      <x:c r="H227" s="57" t="str">
        <x:v>modeled_latent_ensemble</x:v>
      </x:c>
    </x:row>
    <x:row r="228" ht="15" hidden="0" customHeight="1">
      <x:c r="A228" s="59" t="n">
        <x:v>223</x:v>
      </x:c>
      <x:c r="B228" s="59" t="n">
        <x:v>8.782476572831259</x:v>
      </x:c>
      <x:c r="C228" s="59" t="n">
        <x:v>5.860730580716735</x:v>
      </x:c>
      <x:c r="D228" s="59" t="n">
        <x:v>5.013645843286643</x:v>
      </x:c>
      <x:c r="E228" s="59" t="n">
        <x:v>3.45746704383104</x:v>
      </x:c>
      <x:c r="F228" s="59" t="n">
        <x:v>6.285679959334325</x:v>
      </x:c>
      <x:c r="G228" s="59" t="n">
        <x:v>5.880000000000001</x:v>
      </x:c>
      <x:c r="H228" s="58" t="str">
        <x:v>modeled_latent_ensemble</x:v>
      </x:c>
    </x:row>
    <x:row r="229" ht="15" hidden="0" customHeight="1">
      <x:c r="A229" s="60" t="n">
        <x:v>224</x:v>
      </x:c>
      <x:c r="B229" s="60" t="n">
        <x:v>8.983012172818043</x:v>
      </x:c>
      <x:c r="C229" s="60" t="n">
        <x:v>6.168916672956461</x:v>
      </x:c>
      <x:c r="D229" s="60" t="n">
        <x:v>4.98491109967693</x:v>
      </x:c>
      <x:c r="E229" s="60" t="n">
        <x:v>2.634846312308321</x:v>
      </x:c>
      <x:c r="F229" s="60" t="n">
        <x:v>6.6283137422402465</x:v>
      </x:c>
      <x:c r="G229" s="60" t="n">
        <x:v>5.88</x:v>
      </x:c>
      <x:c r="H229" s="57" t="str">
        <x:v>modeled_latent_ensemble</x:v>
      </x:c>
    </x:row>
    <x:row r="230" ht="15" hidden="0" customHeight="1">
      <x:c r="A230" s="59" t="n">
        <x:v>225</x:v>
      </x:c>
      <x:c r="B230" s="59" t="n">
        <x:v>8.969279387587585</x:v>
      </x:c>
      <x:c r="C230" s="59" t="n">
        <x:v>6.03683548436765</x:v>
      </x:c>
      <x:c r="D230" s="59" t="n">
        <x:v>5.073053469279658</x:v>
      </x:c>
      <x:c r="E230" s="59" t="n">
        <x:v>2.7222063712385696</x:v>
      </x:c>
      <x:c r="F230" s="59" t="n">
        <x:v>6.598625287526539</x:v>
      </x:c>
      <x:c r="G230" s="59" t="n">
        <x:v>5.880000000000001</x:v>
      </x:c>
      <x:c r="H230" s="58" t="str">
        <x:v>modeled_latent_ensemble</x:v>
      </x:c>
    </x:row>
    <x:row r="231" ht="15" hidden="0" customHeight="1">
      <x:c r="A231" s="60" t="n">
        <x:v>226</x:v>
      </x:c>
      <x:c r="B231" s="60" t="n">
        <x:v>8.985755550476354</x:v>
      </x:c>
      <x:c r="C231" s="60" t="n">
        <x:v>5.926466913747996</x:v>
      </x:c>
      <x:c r="D231" s="60" t="n">
        <x:v>4.999149079906586</x:v>
      </x:c>
      <x:c r="E231" s="60" t="n">
        <x:v>3.3342127784483204</x:v>
      </x:c>
      <x:c r="F231" s="60" t="n">
        <x:v>6.1544156774207455</x:v>
      </x:c>
      <x:c r="G231" s="60" t="n">
        <x:v>5.880000000000001</x:v>
      </x:c>
      <x:c r="H231" s="57" t="str">
        <x:v>modeled_latent_ensemble</x:v>
      </x:c>
    </x:row>
    <x:row r="232" ht="15" hidden="0" customHeight="1">
      <x:c r="A232" s="59" t="n">
        <x:v>227</x:v>
      </x:c>
      <x:c r="B232" s="59" t="n">
        <x:v>8.73486527754264</x:v>
      </x:c>
      <x:c r="C232" s="59" t="n">
        <x:v>6.01695933501293</x:v>
      </x:c>
      <x:c r="D232" s="59" t="n">
        <x:v>5.086125312604524</x:v>
      </x:c>
      <x:c r="E232" s="59" t="n">
        <x:v>3.1213197361283336</x:v>
      </x:c>
      <x:c r="F232" s="59" t="n">
        <x:v>6.440730338711572</x:v>
      </x:c>
      <x:c r="G232" s="59" t="n">
        <x:v>5.88</x:v>
      </x:c>
      <x:c r="H232" s="58" t="str">
        <x:v>modeled_latent_ensemble</x:v>
      </x:c>
    </x:row>
    <x:row r="233" ht="15" hidden="0" customHeight="1">
      <x:c r="A233" s="60" t="n">
        <x:v>228</x:v>
      </x:c>
      <x:c r="B233" s="60" t="n">
        <x:v>8.866097050298738</x:v>
      </x:c>
      <x:c r="C233" s="60" t="n">
        <x:v>6.0847548799165425</x:v>
      </x:c>
      <x:c r="D233" s="60" t="n">
        <x:v>5.088055829379441</x:v>
      </x:c>
      <x:c r="E233" s="60" t="n">
        <x:v>2.981205957660001</x:v>
      </x:c>
      <x:c r="F233" s="60" t="n">
        <x:v>6.379886282745279</x:v>
      </x:c>
      <x:c r="G233" s="60" t="n">
        <x:v>5.880000000000001</x:v>
      </x:c>
      <x:c r="H233" s="57" t="str">
        <x:v>modeled_latent_ensemble</x:v>
      </x:c>
    </x:row>
    <x:row r="234" ht="15" hidden="0" customHeight="1">
      <x:c r="A234" s="59" t="n">
        <x:v>229</x:v>
      </x:c>
      <x:c r="B234" s="59" t="n">
        <x:v>8.821984012573967</x:v>
      </x:c>
      <x:c r="C234" s="59" t="n">
        <x:v>5.957027319149103</x:v>
      </x:c>
      <x:c r="D234" s="59" t="n">
        <x:v>5.065454651486002</x:v>
      </x:c>
      <x:c r="E234" s="59" t="n">
        <x:v>3.0857862133682277</x:v>
      </x:c>
      <x:c r="F234" s="59" t="n">
        <x:v>6.469747803422702</x:v>
      </x:c>
      <x:c r="G234" s="59" t="n">
        <x:v>5.88</x:v>
      </x:c>
      <x:c r="H234" s="58" t="str">
        <x:v>modeled_latent_ensemble</x:v>
      </x:c>
    </x:row>
    <x:row r="235" ht="15" hidden="0" customHeight="1">
      <x:c r="A235" s="60" t="n">
        <x:v>230</x:v>
      </x:c>
      <x:c r="B235" s="60" t="n">
        <x:v>8.89280057092393</x:v>
      </x:c>
      <x:c r="C235" s="60" t="n">
        <x:v>5.89380586371321</x:v>
      </x:c>
      <x:c r="D235" s="60" t="n">
        <x:v>5.204933159397106</x:v>
      </x:c>
      <x:c r="E235" s="60" t="n">
        <x:v>2.8780026747553284</x:v>
      </x:c>
      <x:c r="F235" s="60" t="n">
        <x:v>6.530457731210427</x:v>
      </x:c>
      <x:c r="G235" s="60" t="n">
        <x:v>5.88</x:v>
      </x:c>
      <x:c r="H235" s="57" t="str">
        <x:v>modeled_latent_ensemble</x:v>
      </x:c>
    </x:row>
    <x:row r="236" ht="15" hidden="0" customHeight="1">
      <x:c r="A236" s="59" t="n">
        <x:v>231</x:v>
      </x:c>
      <x:c r="B236" s="59" t="n">
        <x:v>9.022949418856482</x:v>
      </x:c>
      <x:c r="C236" s="59" t="n">
        <x:v>6.03664622457945</x:v>
      </x:c>
      <x:c r="D236" s="59" t="n">
        <x:v>5.028961434102079</x:v>
      </x:c>
      <x:c r="E236" s="59" t="n">
        <x:v>2.8236946244142005</x:v>
      </x:c>
      <x:c r="F236" s="59" t="n">
        <x:v>6.487748298047788</x:v>
      </x:c>
      <x:c r="G236" s="59" t="n">
        <x:v>5.880000000000001</x:v>
      </x:c>
      <x:c r="H236" s="58" t="str">
        <x:v>modeled_latent_ensemble</x:v>
      </x:c>
    </x:row>
    <x:row r="237" ht="15" hidden="0" customHeight="1">
      <x:c r="A237" s="60" t="n">
        <x:v>232</x:v>
      </x:c>
      <x:c r="B237" s="60" t="n">
        <x:v>8.880760166057236</x:v>
      </x:c>
      <x:c r="C237" s="60" t="n">
        <x:v>6.012582156585512</x:v>
      </x:c>
      <x:c r="D237" s="60" t="n">
        <x:v>5.150829076947257</x:v>
      </x:c>
      <x:c r="E237" s="60" t="n">
        <x:v>2.8221926563619446</x:v>
      </x:c>
      <x:c r="F237" s="60" t="n">
        <x:v>6.53363594404805</x:v>
      </x:c>
      <x:c r="G237" s="60" t="n">
        <x:v>5.880000000000001</x:v>
      </x:c>
      <x:c r="H237" s="57" t="str">
        <x:v>modeled_latent_ensemble</x:v>
      </x:c>
    </x:row>
    <x:row r="238" ht="15" hidden="0" customHeight="1">
      <x:c r="A238" s="59" t="n">
        <x:v>233</x:v>
      </x:c>
      <x:c r="B238" s="59" t="n">
        <x:v>8.977793388392453</x:v>
      </x:c>
      <x:c r="C238" s="59" t="n">
        <x:v>6.194829338191084</x:v>
      </x:c>
      <x:c r="D238" s="59" t="n">
        <x:v>5.121795280672341</x:v>
      </x:c>
      <x:c r="E238" s="59" t="n">
        <x:v>2.57816553605634</x:v>
      </x:c>
      <x:c r="F238" s="59" t="n">
        <x:v>6.527416456687782</x:v>
      </x:c>
      <x:c r="G238" s="59" t="n">
        <x:v>5.88</x:v>
      </x:c>
      <x:c r="H238" s="58" t="str">
        <x:v>modeled_latent_ensemble</x:v>
      </x:c>
    </x:row>
    <x:row r="239" ht="15" hidden="0" customHeight="1">
      <x:c r="A239" s="60" t="n">
        <x:v>234</x:v>
      </x:c>
      <x:c r="B239" s="60" t="n">
        <x:v>8.748329030653947</x:v>
      </x:c>
      <x:c r="C239" s="60" t="n">
        <x:v>5.923308228489945</x:v>
      </x:c>
      <x:c r="D239" s="60" t="n">
        <x:v>5.233749571677072</x:v>
      </x:c>
      <x:c r="E239" s="60" t="n">
        <x:v>3.270786430903205</x:v>
      </x:c>
      <x:c r="F239" s="60" t="n">
        <x:v>6.223826738275832</x:v>
      </x:c>
      <x:c r="G239" s="60" t="n">
        <x:v>5.880000000000001</x:v>
      </x:c>
      <x:c r="H239" s="57" t="str">
        <x:v>modeled_latent_ensemble</x:v>
      </x:c>
    </x:row>
    <x:row r="240" ht="15" hidden="0" customHeight="1">
      <x:c r="A240" s="59" t="n">
        <x:v>235</x:v>
      </x:c>
      <x:c r="B240" s="59" t="n">
        <x:v>8.963901976507701</x:v>
      </x:c>
      <x:c r="C240" s="59" t="n">
        <x:v>6.088653565241494</x:v>
      </x:c>
      <x:c r="D240" s="59" t="n">
        <x:v>5.187713859668266</x:v>
      </x:c>
      <x:c r="E240" s="59" t="n">
        <x:v>2.7128051310674257</x:v>
      </x:c>
      <x:c r="F240" s="59" t="n">
        <x:v>6.446925467515114</x:v>
      </x:c>
      <x:c r="G240" s="59" t="n">
        <x:v>5.880000000000001</x:v>
      </x:c>
      <x:c r="H240" s="58" t="str">
        <x:v>modeled_latent_ensemble</x:v>
      </x:c>
    </x:row>
    <x:row r="241" ht="15" hidden="0" customHeight="1">
      <x:c r="A241" s="60" t="n">
        <x:v>236</x:v>
      </x:c>
      <x:c r="B241" s="60" t="n">
        <x:v>9.007355396349881</x:v>
      </x:c>
      <x:c r="C241" s="60" t="n">
        <x:v>5.887910407178327</x:v>
      </x:c>
      <x:c r="D241" s="60" t="n">
        <x:v>4.9305449196668825</x:v>
      </x:c>
      <x:c r="E241" s="60" t="n">
        <x:v>2.9459100240423983</x:v>
      </x:c>
      <x:c r="F241" s="60" t="n">
        <x:v>6.6282792527625105</x:v>
      </x:c>
      <x:c r="G241" s="60" t="n">
        <x:v>5.88</x:v>
      </x:c>
      <x:c r="H241" s="57" t="str">
        <x:v>modeled_latent_ensemble</x:v>
      </x:c>
    </x:row>
    <x:row r="242" ht="15" hidden="0" customHeight="1">
      <x:c r="A242" s="59" t="n">
        <x:v>237</x:v>
      </x:c>
      <x:c r="B242" s="59" t="n">
        <x:v>8.784174129477512</x:v>
      </x:c>
      <x:c r="C242" s="59" t="n">
        <x:v>6.016920590601671</x:v>
      </x:c>
      <x:c r="D242" s="59" t="n">
        <x:v>4.999835669727125</x:v>
      </x:c>
      <x:c r="E242" s="59" t="n">
        <x:v>3.0495395846809608</x:v>
      </x:c>
      <x:c r="F242" s="59" t="n">
        <x:v>6.549530025512734</x:v>
      </x:c>
      <x:c r="G242" s="59" t="n">
        <x:v>5.880000000000001</x:v>
      </x:c>
      <x:c r="H242" s="58" t="str">
        <x:v>modeled_latent_ensemble</x:v>
      </x:c>
    </x:row>
    <x:row r="243" ht="15" hidden="0" customHeight="1">
      <x:c r="A243" s="60" t="n">
        <x:v>238</x:v>
      </x:c>
      <x:c r="B243" s="60" t="n">
        <x:v>8.862731274584428</x:v>
      </x:c>
      <x:c r="C243" s="60" t="n">
        <x:v>5.948657546375382</x:v>
      </x:c>
      <x:c r="D243" s="60" t="n">
        <x:v>5.234677423308373</x:v>
      </x:c>
      <x:c r="E243" s="60" t="n">
        <x:v>2.841471046696419</x:v>
      </x:c>
      <x:c r="F243" s="60" t="n">
        <x:v>6.512462709035399</x:v>
      </x:c>
      <x:c r="G243" s="60" t="n">
        <x:v>5.88</x:v>
      </x:c>
      <x:c r="H243" s="57" t="str">
        <x:v>modeled_latent_ensemble</x:v>
      </x:c>
    </x:row>
    <x:row r="244" ht="15" hidden="0" customHeight="1">
      <x:c r="A244" s="59" t="n">
        <x:v>239</x:v>
      </x:c>
      <x:c r="B244" s="59" t="n">
        <x:v>8.892321637079473</x:v>
      </x:c>
      <x:c r="C244" s="59" t="n">
        <x:v>6.147086399765545</x:v>
      </x:c>
      <x:c r="D244" s="59" t="n">
        <x:v>4.955765673493162</x:v>
      </x:c>
      <x:c r="E244" s="59" t="n">
        <x:v>3.2250160832782337</x:v>
      </x:c>
      <x:c r="F244" s="59" t="n">
        <x:v>6.179810206383587</x:v>
      </x:c>
      <x:c r="G244" s="59" t="n">
        <x:v>5.88</x:v>
      </x:c>
      <x:c r="H244" s="58" t="str">
        <x:v>modeled_latent_ensemble</x:v>
      </x:c>
    </x:row>
    <x:row r="245" ht="15" hidden="0" customHeight="1">
      <x:c r="A245" s="60" t="n">
        <x:v>240</x:v>
      </x:c>
      <x:c r="B245" s="60" t="n">
        <x:v>8.788033050902907</x:v>
      </x:c>
      <x:c r="C245" s="60" t="n">
        <x:v>6.015473577161843</x:v>
      </x:c>
      <x:c r="D245" s="60" t="n">
        <x:v>5.052038724830628</x:v>
      </x:c>
      <x:c r="E245" s="60" t="n">
        <x:v>2.948779536591345</x:v>
      </x:c>
      <x:c r="F245" s="60" t="n">
        <x:v>6.595675110513279</x:v>
      </x:c>
      <x:c r="G245" s="60" t="n">
        <x:v>5.880000000000001</x:v>
      </x:c>
      <x:c r="H245" s="57" t="str">
        <x:v>modeled_latent_ensemble</x:v>
      </x:c>
    </x:row>
    <x:row r="246" ht="15" hidden="0" customHeight="1">
      <x:c r="A246" s="59" t="n">
        <x:v>241</x:v>
      </x:c>
      <x:c r="B246" s="59" t="n">
        <x:v>8.94664700089136</x:v>
      </x:c>
      <x:c r="C246" s="59" t="n">
        <x:v>6.052857678179887</x:v>
      </x:c>
      <x:c r="D246" s="59" t="n">
        <x:v>5.101485118270434</x:v>
      </x:c>
      <x:c r="E246" s="59" t="n">
        <x:v>2.838515331156323</x:v>
      </x:c>
      <x:c r="F246" s="59" t="n">
        <x:v>6.460494871501997</x:v>
      </x:c>
      <x:c r="G246" s="59" t="n">
        <x:v>5.880000000000001</x:v>
      </x:c>
      <x:c r="H246" s="58" t="str">
        <x:v>modeled_latent_ensemble</x:v>
      </x:c>
    </x:row>
    <x:row r="247" ht="15" hidden="0" customHeight="1">
      <x:c r="A247" s="60" t="n">
        <x:v>242</x:v>
      </x:c>
      <x:c r="B247" s="60" t="n">
        <x:v>8.80962322306187</x:v>
      </x:c>
      <x:c r="C247" s="60" t="n">
        <x:v>6.00877371923574</x:v>
      </x:c>
      <x:c r="D247" s="60" t="n">
        <x:v>5.0225703108002095</x:v>
      </x:c>
      <x:c r="E247" s="60" t="n">
        <x:v>3.151073738918021</x:v>
      </x:c>
      <x:c r="F247" s="60" t="n">
        <x:v>6.407959007984161</x:v>
      </x:c>
      <x:c r="G247" s="60" t="n">
        <x:v>5.880000000000001</x:v>
      </x:c>
      <x:c r="H247" s="57" t="str">
        <x:v>modeled_latent_ensemble</x:v>
      </x:c>
    </x:row>
    <x:row r="248" ht="15" hidden="0" customHeight="1">
      <x:c r="A248" s="59" t="n">
        <x:v>243</x:v>
      </x:c>
      <x:c r="B248" s="59" t="n">
        <x:v>8.75261866628145</x:v>
      </x:c>
      <x:c r="C248" s="59" t="n">
        <x:v>5.9076940713162855</x:v>
      </x:c>
      <x:c r="D248" s="59" t="n">
        <x:v>5.027562186792359</x:v>
      </x:c>
      <x:c r="E248" s="59" t="n">
        <x:v>3.548761055088174</x:v>
      </x:c>
      <x:c r="F248" s="59" t="n">
        <x:v>6.163364020521733</x:v>
      </x:c>
      <x:c r="G248" s="59" t="n">
        <x:v>5.880000000000001</x:v>
      </x:c>
      <x:c r="H248" s="58" t="str">
        <x:v>modeled_latent_ensemble</x:v>
      </x:c>
    </x:row>
    <x:row r="249" ht="15" hidden="0" customHeight="1">
      <x:c r="A249" s="60" t="n">
        <x:v>244</x:v>
      </x:c>
      <x:c r="B249" s="60" t="n">
        <x:v>8.878197883046276</x:v>
      </x:c>
      <x:c r="C249" s="60" t="n">
        <x:v>5.998518511916961</x:v>
      </x:c>
      <x:c r="D249" s="60" t="n">
        <x:v>5.004760060470636</x:v>
      </x:c>
      <x:c r="E249" s="60" t="n">
        <x:v>3.082626144121225</x:v>
      </x:c>
      <x:c r="F249" s="60" t="n">
        <x:v>6.435897400444903</x:v>
      </x:c>
      <x:c r="G249" s="60" t="n">
        <x:v>5.88</x:v>
      </x:c>
      <x:c r="H249" s="57" t="str">
        <x:v>modeled_latent_ensemble</x:v>
      </x:c>
    </x:row>
    <x:row r="250" ht="15" hidden="0" customHeight="1">
      <x:c r="A250" s="59" t="n">
        <x:v>245</x:v>
      </x:c>
      <x:c r="B250" s="59" t="n">
        <x:v>8.923040844397967</x:v>
      </x:c>
      <x:c r="C250" s="59" t="n">
        <x:v>5.924257329019038</x:v>
      </x:c>
      <x:c r="D250" s="59" t="n">
        <x:v>5.109078341281672</x:v>
      </x:c>
      <x:c r="E250" s="59" t="n">
        <x:v>2.883041399811405</x:v>
      </x:c>
      <x:c r="F250" s="59" t="n">
        <x:v>6.560582085489921</x:v>
      </x:c>
      <x:c r="G250" s="59" t="n">
        <x:v>5.88</x:v>
      </x:c>
      <x:c r="H250" s="58" t="str">
        <x:v>modeled_latent_ensemble</x:v>
      </x:c>
    </x:row>
    <x:row r="251" ht="15" hidden="0" customHeight="1">
      <x:c r="A251" s="60" t="n">
        <x:v>246</x:v>
      </x:c>
      <x:c r="B251" s="60" t="n">
        <x:v>9.02671904733393</x:v>
      </x:c>
      <x:c r="C251" s="60" t="n">
        <x:v>6.10597290499086</x:v>
      </x:c>
      <x:c r="D251" s="60" t="n">
        <x:v>5.175312718643195</x:v>
      </x:c>
      <x:c r="E251" s="60" t="n">
        <x:v>2.717162085212713</x:v>
      </x:c>
      <x:c r="F251" s="60" t="n">
        <x:v>6.374833243819302</x:v>
      </x:c>
      <x:c r="G251" s="60" t="n">
        <x:v>5.880000000000001</x:v>
      </x:c>
      <x:c r="H251" s="57" t="str">
        <x:v>modeled_latent_ensemble</x:v>
      </x:c>
    </x:row>
    <x:row r="252" ht="15" hidden="0" customHeight="1">
      <x:c r="A252" s="59" t="n">
        <x:v>247</x:v>
      </x:c>
      <x:c r="B252" s="59" t="n">
        <x:v>8.918371500092823</x:v>
      </x:c>
      <x:c r="C252" s="59" t="n">
        <x:v>6.110569278929502</x:v>
      </x:c>
      <x:c r="D252" s="59" t="n">
        <x:v>4.902539659900643</x:v>
      </x:c>
      <x:c r="E252" s="59" t="n">
        <x:v>3.0519995722840587</x:v>
      </x:c>
      <x:c r="F252" s="59" t="n">
        <x:v>6.416519988792975</x:v>
      </x:c>
      <x:c r="G252" s="59" t="n">
        <x:v>5.880000000000001</x:v>
      </x:c>
      <x:c r="H252" s="58" t="str">
        <x:v>modeled_latent_ensemble</x:v>
      </x:c>
    </x:row>
    <x:row r="253" ht="15" hidden="0" customHeight="1">
      <x:c r="A253" s="60" t="n">
        <x:v>248</x:v>
      </x:c>
      <x:c r="B253" s="60" t="n">
        <x:v>8.865517432649275</x:v>
      </x:c>
      <x:c r="C253" s="60" t="n">
        <x:v>5.996931679609598</x:v>
      </x:c>
      <x:c r="D253" s="60" t="n">
        <x:v>5.10087862460295</x:v>
      </x:c>
      <x:c r="E253" s="60" t="n">
        <x:v>3.0496219519686116</x:v>
      </x:c>
      <x:c r="F253" s="60" t="n">
        <x:v>6.387050311169568</x:v>
      </x:c>
      <x:c r="G253" s="60" t="n">
        <x:v>5.88</x:v>
      </x:c>
      <x:c r="H253" s="57" t="str">
        <x:v>modeled_latent_ensemble</x:v>
      </x:c>
    </x:row>
    <x:row r="254" ht="15" hidden="0" customHeight="1">
      <x:c r="A254" s="59" t="n">
        <x:v>249</x:v>
      </x:c>
      <x:c r="B254" s="59" t="n">
        <x:v>8.795813653267766</x:v>
      </x:c>
      <x:c r="C254" s="59" t="n">
        <x:v>6.059823734660836</x:v>
      </x:c>
      <x:c r="D254" s="59" t="n">
        <x:v>5.168122819350921</x:v>
      </x:c>
      <x:c r="E254" s="59" t="n">
        <x:v>3.0380560309036504</x:v>
      </x:c>
      <x:c r="F254" s="59" t="n">
        <x:v>6.338183761816828</x:v>
      </x:c>
      <x:c r="G254" s="59" t="n">
        <x:v>5.880000000000001</x:v>
      </x:c>
      <x:c r="H254" s="58" t="str">
        <x:v>modeled_latent_ensemble</x:v>
      </x:c>
    </x:row>
    <x:row r="255" ht="15" hidden="0" customHeight="1">
      <x:c r="A255" s="60" t="n">
        <x:v>250</x:v>
      </x:c>
      <x:c r="B255" s="60" t="n">
        <x:v>9.009656236525538</x:v>
      </x:c>
      <x:c r="C255" s="60" t="n">
        <x:v>5.978427016289408</x:v>
      </x:c>
      <x:c r="D255" s="60" t="n">
        <x:v>4.9638272991484955</x:v>
      </x:c>
      <x:c r="E255" s="60" t="n">
        <x:v>2.948656173089879</x:v>
      </x:c>
      <x:c r="F255" s="60" t="n">
        <x:v>6.499433274946679</x:v>
      </x:c>
      <x:c r="G255" s="60" t="n">
        <x:v>5.88</x:v>
      </x:c>
      <x:c r="H255" s="57" t="str">
        <x:v>modeled_latent_ensemble</x:v>
      </x:c>
    </x:row>
    <x:row r="256" ht="15" hidden="0" customHeight="1">
      <x:c r="A256" s="59" t="n">
        <x:v>251</x:v>
      </x:c>
      <x:c r="B256" s="59" t="n">
        <x:v>8.920103741365311</x:v>
      </x:c>
      <x:c r="C256" s="59" t="n">
        <x:v>6.004647187504801</x:v>
      </x:c>
      <x:c r="D256" s="59" t="n">
        <x:v>5.078649377931141</x:v>
      </x:c>
      <x:c r="E256" s="59" t="n">
        <x:v>2.827647761640057</x:v>
      </x:c>
      <x:c r="F256" s="59" t="n">
        <x:v>6.568951931558691</x:v>
      </x:c>
      <x:c r="G256" s="59" t="n">
        <x:v>5.880000000000001</x:v>
      </x:c>
      <x:c r="H256" s="58" t="str">
        <x:v>modeled_latent_ensemble</x:v>
      </x:c>
    </x:row>
    <x:row r="257" ht="15" hidden="0" customHeight="1">
      <x:c r="A257" s="60" t="n">
        <x:v>252</x:v>
      </x:c>
      <x:c r="B257" s="60" t="n">
        <x:v>8.830023276457162</x:v>
      </x:c>
      <x:c r="C257" s="60" t="n">
        <x:v>6.018074972413591</x:v>
      </x:c>
      <x:c r="D257" s="60" t="n">
        <x:v>5.184016806592868</x:v>
      </x:c>
      <x:c r="E257" s="60" t="n">
        <x:v>2.9934911461169302</x:v>
      </x:c>
      <x:c r="F257" s="60" t="n">
        <x:v>6.37439379841945</x:v>
      </x:c>
      <x:c r="G257" s="60" t="n">
        <x:v>5.880000000000001</x:v>
      </x:c>
      <x:c r="H257" s="57" t="str">
        <x:v>modeled_latent_ensemble</x:v>
      </x:c>
    </x:row>
    <x:row r="258" ht="15" hidden="0" customHeight="1">
      <x:c r="A258" s="59" t="n">
        <x:v>253</x:v>
      </x:c>
      <x:c r="B258" s="59" t="n">
        <x:v>8.889557377395205</x:v>
      </x:c>
      <x:c r="C258" s="59" t="n">
        <x:v>6.072369444672089</x:v>
      </x:c>
      <x:c r="D258" s="59" t="n">
        <x:v>5.1403024416199665</x:v>
      </x:c>
      <x:c r="E258" s="59" t="n">
        <x:v>2.659209686401197</x:v>
      </x:c>
      <x:c r="F258" s="59" t="n">
        <x:v>6.638561049911545</x:v>
      </x:c>
      <x:c r="G258" s="59" t="n">
        <x:v>5.880000000000001</x:v>
      </x:c>
      <x:c r="H258" s="58" t="str">
        <x:v>modeled_latent_ensemble</x:v>
      </x:c>
    </x:row>
    <x:row r="259" ht="15" hidden="0" customHeight="1">
      <x:c r="A259" s="60" t="n">
        <x:v>254</x:v>
      </x:c>
      <x:c r="B259" s="60" t="n">
        <x:v>8.871031887695304</x:v>
      </x:c>
      <x:c r="C259" s="60" t="n">
        <x:v>5.933469905127765</x:v>
      </x:c>
      <x:c r="D259" s="60" t="n">
        <x:v>5.22619145214893</x:v>
      </x:c>
      <x:c r="E259" s="60" t="n">
        <x:v>2.9089664764348093</x:v>
      </x:c>
      <x:c r="F259" s="60" t="n">
        <x:v>6.460340278593193</x:v>
      </x:c>
      <x:c r="G259" s="60" t="n">
        <x:v>5.880000000000001</x:v>
      </x:c>
      <x:c r="H259" s="57" t="str">
        <x:v>modeled_latent_ensemble</x:v>
      </x:c>
    </x:row>
    <x:row r="260" ht="15" hidden="0" customHeight="1">
      <x:c r="A260" s="59" t="n">
        <x:v>255</x:v>
      </x:c>
      <x:c r="B260" s="59" t="n">
        <x:v>8.934380764885608</x:v>
      </x:c>
      <x:c r="C260" s="59" t="n">
        <x:v>6.163938058522787</x:v>
      </x:c>
      <x:c r="D260" s="59" t="n">
        <x:v>4.987789597870099</x:v>
      </x:c>
      <x:c r="E260" s="59" t="n">
        <x:v>2.895224492858045</x:v>
      </x:c>
      <x:c r="F260" s="59" t="n">
        <x:v>6.418667085863462</x:v>
      </x:c>
      <x:c r="G260" s="59" t="n">
        <x:v>5.88</x:v>
      </x:c>
      <x:c r="H260" s="58" t="str">
        <x:v>modeled_latent_ensemble</x:v>
      </x:c>
    </x:row>
    <x:row r="261" ht="15" hidden="0" customHeight="1">
      <x:c r="A261" s="60" t="n">
        <x:v>256</x:v>
      </x:c>
      <x:c r="B261" s="60" t="n">
        <x:v>8.948189056183503</x:v>
      </x:c>
      <x:c r="C261" s="60" t="n">
        <x:v>6.0451044405204035</x:v>
      </x:c>
      <x:c r="D261" s="60" t="n">
        <x:v>4.812424169432452</x:v>
      </x:c>
      <x:c r="E261" s="60" t="n">
        <x:v>3.245129836724822</x:v>
      </x:c>
      <x:c r="F261" s="60" t="n">
        <x:v>6.34915249713882</x:v>
      </x:c>
      <x:c r="G261" s="60" t="n">
        <x:v>5.880000000000001</x:v>
      </x:c>
      <x:c r="H261" s="57" t="str">
        <x:v>modeled_latent_ensemble</x:v>
      </x:c>
    </x:row>
    <x:row r="262" ht="15" hidden="0" customHeight="1">
      <x:c r="A262" s="59" t="n">
        <x:v>257</x:v>
      </x:c>
      <x:c r="B262" s="59" t="n">
        <x:v>8.845901607960423</x:v>
      </x:c>
      <x:c r="C262" s="59" t="n">
        <x:v>6.007024465531891</x:v>
      </x:c>
      <x:c r="D262" s="59" t="n">
        <x:v>4.889615794179079</x:v>
      </x:c>
      <x:c r="E262" s="59" t="n">
        <x:v>3.4855945580695042</x:v>
      </x:c>
      <x:c r="F262" s="59" t="n">
        <x:v>6.171863574259105</x:v>
      </x:c>
      <x:c r="G262" s="59" t="n">
        <x:v>5.880000000000001</x:v>
      </x:c>
      <x:c r="H262" s="58" t="str">
        <x:v>modeled_latent_ensemble</x:v>
      </x:c>
    </x:row>
    <x:row r="263" ht="15" hidden="0" customHeight="1">
      <x:c r="A263" s="60" t="n">
        <x:v>258</x:v>
      </x:c>
      <x:c r="B263" s="60" t="n">
        <x:v>8.949597424696044</x:v>
      </x:c>
      <x:c r="C263" s="60" t="n">
        <x:v>6.041360301965562</x:v>
      </x:c>
      <x:c r="D263" s="60" t="n">
        <x:v>5.181702545524591</x:v>
      </x:c>
      <x:c r="E263" s="60" t="n">
        <x:v>2.916489273530633</x:v>
      </x:c>
      <x:c r="F263" s="60" t="n">
        <x:v>6.31085045428317</x:v>
      </x:c>
      <x:c r="G263" s="60" t="n">
        <x:v>5.88</x:v>
      </x:c>
      <x:c r="H263" s="57" t="str">
        <x:v>modeled_latent_ensemble</x:v>
      </x:c>
    </x:row>
    <x:row r="264" ht="15" hidden="0" customHeight="1">
      <x:c r="A264" s="59" t="n">
        <x:v>259</x:v>
      </x:c>
      <x:c r="B264" s="59" t="n">
        <x:v>8.834519555400584</x:v>
      </x:c>
      <x:c r="C264" s="59" t="n">
        <x:v>6.02878009963361</x:v>
      </x:c>
      <x:c r="D264" s="59" t="n">
        <x:v>5.149118223730701</x:v>
      </x:c>
      <x:c r="E264" s="59" t="n">
        <x:v>2.840005625844342</x:v>
      </x:c>
      <x:c r="F264" s="59" t="n">
        <x:v>6.547576495390763</x:v>
      </x:c>
      <x:c r="G264" s="59" t="n">
        <x:v>5.88</x:v>
      </x:c>
      <x:c r="H264" s="58" t="str">
        <x:v>modeled_latent_ensemble</x:v>
      </x:c>
    </x:row>
    <x:row r="265" ht="15" hidden="0" customHeight="1">
      <x:c r="A265" s="60" t="n">
        <x:v>260</x:v>
      </x:c>
      <x:c r="B265" s="60" t="n">
        <x:v>8.864329819879343</x:v>
      </x:c>
      <x:c r="C265" s="60" t="n">
        <x:v>6.067018283790742</x:v>
      </x:c>
      <x:c r="D265" s="60" t="n">
        <x:v>5.025928913003313</x:v>
      </x:c>
      <x:c r="E265" s="60" t="n">
        <x:v>2.8848757883555067</x:v>
      </x:c>
      <x:c r="F265" s="60" t="n">
        <x:v>6.557847194971098</x:v>
      </x:c>
      <x:c r="G265" s="60" t="n">
        <x:v>5.880000000000001</x:v>
      </x:c>
      <x:c r="H265" s="57" t="str">
        <x:v>modeled_latent_ensemble</x:v>
      </x:c>
    </x:row>
    <x:row r="266" ht="15" hidden="0" customHeight="1">
      <x:c r="A266" s="59" t="n">
        <x:v>261</x:v>
      </x:c>
      <x:c r="B266" s="59" t="n">
        <x:v>8.808704991342196</x:v>
      </x:c>
      <x:c r="C266" s="59" t="n">
        <x:v>5.914954720803767</x:v>
      </x:c>
      <x:c r="D266" s="59" t="n">
        <x:v>4.831021348948257</x:v>
      </x:c>
      <x:c r="E266" s="59" t="n">
        <x:v>3.3359279669144857</x:v>
      </x:c>
      <x:c r="F266" s="59" t="n">
        <x:v>6.509390971991296</x:v>
      </x:c>
      <x:c r="G266" s="59" t="n">
        <x:v>5.880000000000001</x:v>
      </x:c>
      <x:c r="H266" s="58" t="str">
        <x:v>modeled_latent_ensemble</x:v>
      </x:c>
    </x:row>
    <x:row r="267" ht="15" hidden="0" customHeight="1">
      <x:c r="A267" s="60" t="n">
        <x:v>262</x:v>
      </x:c>
      <x:c r="B267" s="60" t="n">
        <x:v>8.7806278288298</x:v>
      </x:c>
      <x:c r="C267" s="60" t="n">
        <x:v>5.963874553348506</x:v>
      </x:c>
      <x:c r="D267" s="60" t="n">
        <x:v>5.017903252791391</x:v>
      </x:c>
      <x:c r="E267" s="60" t="n">
        <x:v>3.2277046465380623</x:v>
      </x:c>
      <x:c r="F267" s="60" t="n">
        <x:v>6.409889718492242</x:v>
      </x:c>
      <x:c r="G267" s="60" t="n">
        <x:v>5.880000000000001</x:v>
      </x:c>
      <x:c r="H267" s="57" t="str">
        <x:v>modeled_latent_ensemble</x:v>
      </x:c>
    </x:row>
    <x:row r="268" ht="15" hidden="0" customHeight="1">
      <x:c r="A268" s="59" t="n">
        <x:v>263</x:v>
      </x:c>
      <x:c r="B268" s="59" t="n">
        <x:v>8.794771948584197</x:v>
      </x:c>
      <x:c r="C268" s="59" t="n">
        <x:v>5.969095947074248</x:v>
      </x:c>
      <x:c r="D268" s="59" t="n">
        <x:v>5.099809254506676</x:v>
      </x:c>
      <x:c r="E268" s="59" t="n">
        <x:v>2.9767098345134153</x:v>
      </x:c>
      <x:c r="F268" s="59" t="n">
        <x:v>6.5596130153214665</x:v>
      </x:c>
      <x:c r="G268" s="59" t="n">
        <x:v>5.880000000000001</x:v>
      </x:c>
      <x:c r="H268" s="58" t="str">
        <x:v>modeled_latent_ensemble</x:v>
      </x:c>
    </x:row>
    <x:row r="269" ht="15" hidden="0" customHeight="1">
      <x:c r="A269" s="60" t="n">
        <x:v>264</x:v>
      </x:c>
      <x:c r="B269" s="60" t="n">
        <x:v>8.923913530547278</x:v>
      </x:c>
      <x:c r="C269" s="60" t="n">
        <x:v>6.117366558191026</x:v>
      </x:c>
      <x:c r="D269" s="60" t="n">
        <x:v>5.063058250998335</x:v>
      </x:c>
      <x:c r="E269" s="60" t="n">
        <x:v>2.9719002112485287</x:v>
      </x:c>
      <x:c r="F269" s="60" t="n">
        <x:v>6.323761449014833</x:v>
      </x:c>
      <x:c r="G269" s="60" t="n">
        <x:v>5.88</x:v>
      </x:c>
      <x:c r="H269" s="57" t="str">
        <x:v>modeled_latent_ensemble</x:v>
      </x:c>
    </x:row>
    <x:row r="270" ht="15" hidden="0" customHeight="1">
      <x:c r="A270" s="59" t="n">
        <x:v>265</x:v>
      </x:c>
      <x:c r="B270" s="59" t="n">
        <x:v>8.868406415839742</x:v>
      </x:c>
      <x:c r="C270" s="59" t="n">
        <x:v>6.0949336304774375</x:v>
      </x:c>
      <x:c r="D270" s="59" t="n">
        <x:v>4.8762875784477675</x:v>
      </x:c>
      <x:c r="E270" s="59" t="n">
        <x:v>2.968499142216272</x:v>
      </x:c>
      <x:c r="F270" s="59" t="n">
        <x:v>6.591873233018782</x:v>
      </x:c>
      <x:c r="G270" s="59" t="n">
        <x:v>5.88</x:v>
      </x:c>
      <x:c r="H270" s="58" t="str">
        <x:v>modeled_latent_ensemble</x:v>
      </x:c>
    </x:row>
    <x:row r="271" ht="15" hidden="0" customHeight="1">
      <x:c r="A271" s="60" t="n">
        <x:v>266</x:v>
      </x:c>
      <x:c r="B271" s="60" t="n">
        <x:v>8.82736828907657</x:v>
      </x:c>
      <x:c r="C271" s="60" t="n">
        <x:v>6.0612970843641785</x:v>
      </x:c>
      <x:c r="D271" s="60" t="n">
        <x:v>5.064522701755931</x:v>
      </x:c>
      <x:c r="E271" s="60" t="n">
        <x:v>3.1485834975448155</x:v>
      </x:c>
      <x:c r="F271" s="60" t="n">
        <x:v>6.298228427258508</x:v>
      </x:c>
      <x:c r="G271" s="60" t="n">
        <x:v>5.880000000000001</x:v>
      </x:c>
      <x:c r="H271" s="57" t="str">
        <x:v>modeled_latent_ensemble</x:v>
      </x:c>
    </x:row>
    <x:row r="272" ht="15" hidden="0" customHeight="1">
      <x:c r="A272" s="59" t="n">
        <x:v>267</x:v>
      </x:c>
      <x:c r="B272" s="59" t="n">
        <x:v>8.971365452076881</x:v>
      </x:c>
      <x:c r="C272" s="59" t="n">
        <x:v>6.1366931188800935</x:v>
      </x:c>
      <x:c r="D272" s="59" t="n">
        <x:v>5.324302771242074</x:v>
      </x:c>
      <x:c r="E272" s="59" t="n">
        <x:v>2.4137565405601924</x:v>
      </x:c>
      <x:c r="F272" s="59" t="n">
        <x:v>6.55388211724076</x:v>
      </x:c>
      <x:c r="G272" s="59" t="n">
        <x:v>5.880000000000001</x:v>
      </x:c>
      <x:c r="H272" s="58" t="str">
        <x:v>modeled_latent_ensemble</x:v>
      </x:c>
    </x:row>
    <x:row r="273" ht="15" hidden="0" customHeight="1">
      <x:c r="A273" s="60" t="n">
        <x:v>268</x:v>
      </x:c>
      <x:c r="B273" s="60" t="n">
        <x:v>8.916701104369825</x:v>
      </x:c>
      <x:c r="C273" s="60" t="n">
        <x:v>6.128948662216026</x:v>
      </x:c>
      <x:c r="D273" s="60" t="n">
        <x:v>5.044279723327172</x:v>
      </x:c>
      <x:c r="E273" s="60" t="n">
        <x:v>2.876454016222944</x:v>
      </x:c>
      <x:c r="F273" s="60" t="n">
        <x:v>6.433616493864034</x:v>
      </x:c>
      <x:c r="G273" s="60" t="n">
        <x:v>5.88</x:v>
      </x:c>
      <x:c r="H273" s="57" t="str">
        <x:v>modeled_latent_ensemble</x:v>
      </x:c>
    </x:row>
    <x:row r="274" ht="15" hidden="0" customHeight="1">
      <x:c r="A274" s="59" t="n">
        <x:v>269</x:v>
      </x:c>
      <x:c r="B274" s="59" t="n">
        <x:v>8.82083126046187</x:v>
      </x:c>
      <x:c r="C274" s="59" t="n">
        <x:v>6.015934709409109</x:v>
      </x:c>
      <x:c r="D274" s="59" t="n">
        <x:v>5.0981114751183965</x:v>
      </x:c>
      <x:c r="E274" s="59" t="n">
        <x:v>3.069308900413109</x:v>
      </x:c>
      <x:c r="F274" s="59" t="n">
        <x:v>6.395813654597516</x:v>
      </x:c>
      <x:c r="G274" s="59" t="n">
        <x:v>5.88</x:v>
      </x:c>
      <x:c r="H274" s="58" t="str">
        <x:v>modeled_latent_ensemble</x:v>
      </x:c>
    </x:row>
    <x:row r="275" ht="15" hidden="0" customHeight="1">
      <x:c r="A275" s="60" t="n">
        <x:v>270</x:v>
      </x:c>
      <x:c r="B275" s="60" t="n">
        <x:v>8.937303134616712</x:v>
      </x:c>
      <x:c r="C275" s="60" t="n">
        <x:v>5.982665555824256</x:v>
      </x:c>
      <x:c r="D275" s="60" t="n">
        <x:v>5.1761391277522915</x:v>
      </x:c>
      <x:c r="E275" s="60" t="n">
        <x:v>3.107469090255411</x:v>
      </x:c>
      <x:c r="F275" s="60" t="n">
        <x:v>6.196423091551332</x:v>
      </x:c>
      <x:c r="G275" s="60" t="n">
        <x:v>5.880000000000001</x:v>
      </x:c>
      <x:c r="H275" s="57" t="str">
        <x:v>modeled_latent_ensemble</x:v>
      </x:c>
    </x:row>
    <x:row r="276" ht="15" hidden="0" customHeight="1">
      <x:c r="A276" s="59" t="n">
        <x:v>271</x:v>
      </x:c>
      <x:c r="B276" s="59" t="n">
        <x:v>8.864829086553955</x:v>
      </x:c>
      <x:c r="C276" s="59" t="n">
        <x:v>6.097905347063102</x:v>
      </x:c>
      <x:c r="D276" s="59" t="n">
        <x:v>4.96775897325437</x:v>
      </x:c>
      <x:c r="E276" s="59" t="n">
        <x:v>3.1326498205880196</x:v>
      </x:c>
      <x:c r="F276" s="59" t="n">
        <x:v>6.336856772540554</x:v>
      </x:c>
      <x:c r="G276" s="59" t="n">
        <x:v>5.880000000000001</x:v>
      </x:c>
      <x:c r="H276" s="58" t="str">
        <x:v>modeled_latent_ensemble</x:v>
      </x:c>
    </x:row>
    <x:row r="277" ht="15" hidden="0" customHeight="1">
      <x:c r="A277" s="60" t="n">
        <x:v>272</x:v>
      </x:c>
      <x:c r="B277" s="60" t="n">
        <x:v>8.860991819217055</x:v>
      </x:c>
      <x:c r="C277" s="60" t="n">
        <x:v>6.020273515134595</x:v>
      </x:c>
      <x:c r="D277" s="60" t="n">
        <x:v>5.171186830819098</x:v>
      </x:c>
      <x:c r="E277" s="60" t="n">
        <x:v>3.168185292012556</x:v>
      </x:c>
      <x:c r="F277" s="60" t="n">
        <x:v>6.179362542816698</x:v>
      </x:c>
      <x:c r="G277" s="60" t="n">
        <x:v>5.880000000000001</x:v>
      </x:c>
      <x:c r="H277" s="57" t="str">
        <x:v>modeled_latent_ensemble</x:v>
      </x:c>
    </x:row>
    <x:row r="278" ht="15" hidden="0" customHeight="1">
      <x:c r="A278" s="59" t="n">
        <x:v>273</x:v>
      </x:c>
      <x:c r="B278" s="59" t="n">
        <x:v>8.76206214796047</x:v>
      </x:c>
      <x:c r="C278" s="59" t="n">
        <x:v>5.932233495062403</x:v>
      </x:c>
      <x:c r="D278" s="59" t="n">
        <x:v>5.072310763410243</x:v>
      </x:c>
      <x:c r="E278" s="59" t="n">
        <x:v>3.054957117206658</x:v>
      </x:c>
      <x:c r="F278" s="59" t="n">
        <x:v>6.578436476360228</x:v>
      </x:c>
      <x:c r="G278" s="59" t="n">
        <x:v>5.880000000000001</x:v>
      </x:c>
      <x:c r="H278" s="58" t="str">
        <x:v>modeled_latent_ensemble</x:v>
      </x:c>
    </x:row>
    <x:row r="279" ht="15" hidden="0" customHeight="1">
      <x:c r="A279" s="60" t="n">
        <x:v>274</x:v>
      </x:c>
      <x:c r="B279" s="60" t="n">
        <x:v>8.890272254521438</x:v>
      </x:c>
      <x:c r="C279" s="60" t="n">
        <x:v>5.949131249505564</x:v>
      </x:c>
      <x:c r="D279" s="60" t="n">
        <x:v>4.982235407016101</x:v>
      </x:c>
      <x:c r="E279" s="60" t="n">
        <x:v>3.18155721260423</x:v>
      </x:c>
      <x:c r="F279" s="60" t="n">
        <x:v>6.396803876352668</x:v>
      </x:c>
      <x:c r="G279" s="60" t="n">
        <x:v>5.88</x:v>
      </x:c>
      <x:c r="H279" s="57" t="str">
        <x:v>modeled_latent_ensemble</x:v>
      </x:c>
    </x:row>
    <x:row r="280" ht="15" hidden="0" customHeight="1">
      <x:c r="A280" s="59" t="n">
        <x:v>275</x:v>
      </x:c>
      <x:c r="B280" s="59" t="n">
        <x:v>8.810176472813495</x:v>
      </x:c>
      <x:c r="C280" s="59" t="n">
        <x:v>6.059730605398817</x:v>
      </x:c>
      <x:c r="D280" s="59" t="n">
        <x:v>5.246002400967546</x:v>
      </x:c>
      <x:c r="E280" s="59" t="n">
        <x:v>2.890165232600369</x:v>
      </x:c>
      <x:c r="F280" s="59" t="n">
        <x:v>6.393925288219774</x:v>
      </x:c>
      <x:c r="G280" s="59" t="n">
        <x:v>5.880000000000001</x:v>
      </x:c>
      <x:c r="H280" s="58" t="str">
        <x:v>modeled_latent_ensemble</x:v>
      </x:c>
    </x:row>
    <x:row r="281" ht="15" hidden="0" customHeight="1">
      <x:c r="A281" s="60" t="n">
        <x:v>276</x:v>
      </x:c>
      <x:c r="B281" s="60" t="n">
        <x:v>8.983327790116373</x:v>
      </x:c>
      <x:c r="C281" s="60" t="n">
        <x:v>6.134785058126715</x:v>
      </x:c>
      <x:c r="D281" s="60" t="n">
        <x:v>5.131987958639035</x:v>
      </x:c>
      <x:c r="E281" s="60" t="n">
        <x:v>2.6156134577317807</x:v>
      </x:c>
      <x:c r="F281" s="60" t="n">
        <x:v>6.534285735386096</x:v>
      </x:c>
      <x:c r="G281" s="60" t="n">
        <x:v>5.88</x:v>
      </x:c>
      <x:c r="H281" s="57" t="str">
        <x:v>modeled_latent_ensemble</x:v>
      </x:c>
    </x:row>
    <x:row r="282" ht="15" hidden="0" customHeight="1">
      <x:c r="A282" s="59" t="n">
        <x:v>277</x:v>
      </x:c>
      <x:c r="B282" s="59" t="n">
        <x:v>8.962243760363343</x:v>
      </x:c>
      <x:c r="C282" s="59" t="n">
        <x:v>5.938964867776076</x:v>
      </x:c>
      <x:c r="D282" s="59" t="n">
        <x:v>5.019073187299858</x:v>
      </x:c>
      <x:c r="E282" s="59" t="n">
        <x:v>2.9637388635341204</x:v>
      </x:c>
      <x:c r="F282" s="59" t="n">
        <x:v>6.515979321026603</x:v>
      </x:c>
      <x:c r="G282" s="59" t="n">
        <x:v>5.88</x:v>
      </x:c>
      <x:c r="H282" s="58" t="str">
        <x:v>modeled_latent_ensemble</x:v>
      </x:c>
    </x:row>
    <x:row r="283" ht="15" hidden="0" customHeight="1">
      <x:c r="A283" s="60" t="n">
        <x:v>278</x:v>
      </x:c>
      <x:c r="B283" s="60" t="n">
        <x:v>8.737428197929006</x:v>
      </x:c>
      <x:c r="C283" s="60" t="n">
        <x:v>6.032067710821505</x:v>
      </x:c>
      <x:c r="D283" s="60" t="n">
        <x:v>5.111749710106816</x:v>
      </x:c>
      <x:c r="E283" s="60" t="n">
        <x:v>3.2259120720823784</x:v>
      </x:c>
      <x:c r="F283" s="60" t="n">
        <x:v>6.292842309060296</x:v>
      </x:c>
      <x:c r="G283" s="60" t="n">
        <x:v>5.880000000000001</x:v>
      </x:c>
      <x:c r="H283" s="57" t="str">
        <x:v>modeled_latent_ensemble</x:v>
      </x:c>
    </x:row>
    <x:row r="284" ht="15" hidden="0" customHeight="1">
      <x:c r="A284" s="59" t="n">
        <x:v>279</x:v>
      </x:c>
      <x:c r="B284" s="59" t="n">
        <x:v>8.900836721241589</x:v>
      </x:c>
      <x:c r="C284" s="59" t="n">
        <x:v>6.089736535315225</x:v>
      </x:c>
      <x:c r="D284" s="59" t="n">
        <x:v>4.97057486047795</x:v>
      </x:c>
      <x:c r="E284" s="59" t="n">
        <x:v>2.976720783530167</x:v>
      </x:c>
      <x:c r="F284" s="59" t="n">
        <x:v>6.46213109943507</x:v>
      </x:c>
      <x:c r="G284" s="59" t="n">
        <x:v>5.88</x:v>
      </x:c>
      <x:c r="H284" s="58" t="str">
        <x:v>modeled_latent_ensemble</x:v>
      </x:c>
    </x:row>
    <x:row r="285" ht="15" hidden="0" customHeight="1">
      <x:c r="A285" s="60" t="n">
        <x:v>280</x:v>
      </x:c>
      <x:c r="B285" s="60" t="n">
        <x:v>8.764645475552717</x:v>
      </x:c>
      <x:c r="C285" s="60" t="n">
        <x:v>5.936307862651328</x:v>
      </x:c>
      <x:c r="D285" s="60" t="n">
        <x:v>4.980949930884148</x:v>
      </x:c>
      <x:c r="E285" s="60" t="n">
        <x:v>3.279984800740027</x:v>
      </x:c>
      <x:c r="F285" s="60" t="n">
        <x:v>6.438111930171781</x:v>
      </x:c>
      <x:c r="G285" s="60" t="n">
        <x:v>5.88</x:v>
      </x:c>
      <x:c r="H285" s="57" t="str">
        <x:v>modeled_latent_ensemble</x:v>
      </x:c>
    </x:row>
    <x:row r="286" ht="15" hidden="0" customHeight="1">
      <x:c r="A286" s="59" t="n">
        <x:v>281</x:v>
      </x:c>
      <x:c r="B286" s="59" t="n">
        <x:v>8.879016083456918</x:v>
      </x:c>
      <x:c r="C286" s="59" t="n">
        <x:v>6.027545101036544</x:v>
      </x:c>
      <x:c r="D286" s="59" t="n">
        <x:v>5.127520208140026</x:v>
      </x:c>
      <x:c r="E286" s="59" t="n">
        <x:v>2.8379672981749526</x:v>
      </x:c>
      <x:c r="F286" s="59" t="n">
        <x:v>6.52795130919156</x:v>
      </x:c>
      <x:c r="G286" s="59" t="n">
        <x:v>5.880000000000001</x:v>
      </x:c>
      <x:c r="H286" s="58" t="str">
        <x:v>modeled_latent_ensemble</x:v>
      </x:c>
    </x:row>
    <x:row r="287" ht="15" hidden="0" customHeight="1">
      <x:c r="A287" s="60" t="n">
        <x:v>282</x:v>
      </x:c>
      <x:c r="B287" s="60" t="n">
        <x:v>8.86515279853083</x:v>
      </x:c>
      <x:c r="C287" s="60" t="n">
        <x:v>6.04164768326111</x:v>
      </x:c>
      <x:c r="D287" s="60" t="n">
        <x:v>5.119012512263153</x:v>
      </x:c>
      <x:c r="E287" s="60" t="n">
        <x:v>2.8204525285935214</x:v>
      </x:c>
      <x:c r="F287" s="60" t="n">
        <x:v>6.553734477351386</x:v>
      </x:c>
      <x:c r="G287" s="60" t="n">
        <x:v>5.880000000000001</x:v>
      </x:c>
      <x:c r="H287" s="57" t="str">
        <x:v>modeled_latent_ensemble</x:v>
      </x:c>
    </x:row>
    <x:row r="288" ht="15" hidden="0" customHeight="1">
      <x:c r="A288" s="59" t="n">
        <x:v>283</x:v>
      </x:c>
      <x:c r="B288" s="59" t="n">
        <x:v>8.899448759163404</x:v>
      </x:c>
      <x:c r="C288" s="59" t="n">
        <x:v>6.113555440413338</x:v>
      </x:c>
      <x:c r="D288" s="59" t="n">
        <x:v>5.225417813863326</x:v>
      </x:c>
      <x:c r="E288" s="59" t="n">
        <x:v>2.635448152317855</x:v>
      </x:c>
      <x:c r="F288" s="59" t="n">
        <x:v>6.526129834242079</x:v>
      </x:c>
      <x:c r="G288" s="59" t="n">
        <x:v>5.880000000000001</x:v>
      </x:c>
      <x:c r="H288" s="58" t="str">
        <x:v>modeled_latent_ensemble</x:v>
      </x:c>
    </x:row>
    <x:row r="289" ht="15" hidden="0" customHeight="1">
      <x:c r="A289" s="60" t="n">
        <x:v>284</x:v>
      </x:c>
      <x:c r="B289" s="60" t="n">
        <x:v>8.901953205772898</x:v>
      </x:c>
      <x:c r="C289" s="60" t="n">
        <x:v>5.939221578414169</x:v>
      </x:c>
      <x:c r="D289" s="60" t="n">
        <x:v>5.24789141848918</x:v>
      </x:c>
      <x:c r="E289" s="60" t="n">
        <x:v>2.834693695286184</x:v>
      </x:c>
      <x:c r="F289" s="60" t="n">
        <x:v>6.47624010203757</x:v>
      </x:c>
      <x:c r="G289" s="60" t="n">
        <x:v>5.880000000000001</x:v>
      </x:c>
      <x:c r="H289" s="57" t="str">
        <x:v>modeled_latent_ensemble</x:v>
      </x:c>
    </x:row>
    <x:row r="290" ht="15" hidden="0" customHeight="1">
      <x:c r="A290" s="59" t="n">
        <x:v>285</x:v>
      </x:c>
      <x:c r="B290" s="59" t="n">
        <x:v>9.032057165227046</x:v>
      </x:c>
      <x:c r="C290" s="59" t="n">
        <x:v>6.0717004815475795</x:v>
      </x:c>
      <x:c r="D290" s="59" t="n">
        <x:v>5.092972922424466</x:v>
      </x:c>
      <x:c r="E290" s="59" t="n">
        <x:v>2.6606244600114497</x:v>
      </x:c>
      <x:c r="F290" s="59" t="n">
        <x:v>6.5426449707894605</x:v>
      </x:c>
      <x:c r="G290" s="59" t="n">
        <x:v>5.88</x:v>
      </x:c>
      <x:c r="H290" s="58" t="str">
        <x:v>modeled_latent_ensemble</x:v>
      </x:c>
    </x:row>
    <x:row r="291" ht="15" hidden="0" customHeight="1">
      <x:c r="A291" s="60" t="n">
        <x:v>286</x:v>
      </x:c>
      <x:c r="B291" s="60" t="n">
        <x:v>8.795478533802394</x:v>
      </x:c>
      <x:c r="C291" s="60" t="n">
        <x:v>5.9277881624352355</x:v>
      </x:c>
      <x:c r="D291" s="60" t="n">
        <x:v>4.996743574335338</x:v>
      </x:c>
      <x:c r="E291" s="60" t="n">
        <x:v>3.1883969000365364</x:v>
      </x:c>
      <x:c r="F291" s="60" t="n">
        <x:v>6.491592829390497</x:v>
      </x:c>
      <x:c r="G291" s="60" t="n">
        <x:v>5.880000000000001</x:v>
      </x:c>
      <x:c r="H291" s="57" t="str">
        <x:v>modeled_latent_ensemble</x:v>
      </x:c>
    </x:row>
    <x:row r="292" ht="15" hidden="0" customHeight="1">
      <x:c r="A292" s="59" t="n">
        <x:v>287</x:v>
      </x:c>
      <x:c r="B292" s="59" t="n">
        <x:v>8.90823906211817</x:v>
      </x:c>
      <x:c r="C292" s="59" t="n">
        <x:v>5.964834298358912</x:v>
      </x:c>
      <x:c r="D292" s="59" t="n">
        <x:v>5.157555643678813</x:v>
      </x:c>
      <x:c r="E292" s="59" t="n">
        <x:v>3.0447571316592272</x:v>
      </x:c>
      <x:c r="F292" s="59" t="n">
        <x:v>6.324613864184878</x:v>
      </x:c>
      <x:c r="G292" s="59" t="n">
        <x:v>5.88</x:v>
      </x:c>
      <x:c r="H292" s="58" t="str">
        <x:v>modeled_latent_ensemble</x:v>
      </x:c>
    </x:row>
    <x:row r="293" ht="15" hidden="0" customHeight="1">
      <x:c r="A293" s="60" t="n">
        <x:v>288</x:v>
      </x:c>
      <x:c r="B293" s="60" t="n">
        <x:v>8.918177090223429</x:v>
      </x:c>
      <x:c r="C293" s="60" t="n">
        <x:v>6.105469133078514</x:v>
      </x:c>
      <x:c r="D293" s="60" t="n">
        <x:v>4.931171847226582</x:v>
      </x:c>
      <x:c r="E293" s="60" t="n">
        <x:v>3.020691094685372</x:v>
      </x:c>
      <x:c r="F293" s="60" t="n">
        <x:v>6.424490834786105</x:v>
      </x:c>
      <x:c r="G293" s="60" t="n">
        <x:v>5.880000000000001</x:v>
      </x:c>
      <x:c r="H293" s="57" t="str">
        <x:v>modeled_latent_ensemble</x:v>
      </x:c>
    </x:row>
    <x:row r="294" ht="15" hidden="0" customHeight="1">
      <x:c r="A294" s="59" t="n">
        <x:v>289</x:v>
      </x:c>
      <x:c r="B294" s="59" t="n">
        <x:v>8.800283136785865</x:v>
      </x:c>
      <x:c r="C294" s="59" t="n">
        <x:v>6.0294557476943975</x:v>
      </x:c>
      <x:c r="D294" s="59" t="n">
        <x:v>5.0418714568798295</x:v>
      </x:c>
      <x:c r="E294" s="59" t="n">
        <x:v>3.1925790202927917</x:v>
      </x:c>
      <x:c r="F294" s="59" t="n">
        <x:v>6.335810638347117</x:v>
      </x:c>
      <x:c r="G294" s="59" t="n">
        <x:v>5.880000000000001</x:v>
      </x:c>
      <x:c r="H294" s="58" t="str">
        <x:v>modeled_latent_ensemble</x:v>
      </x:c>
    </x:row>
    <x:row r="295" ht="15" hidden="0" customHeight="1">
      <x:c r="A295" s="60" t="n">
        <x:v>290</x:v>
      </x:c>
      <x:c r="B295" s="60" t="n">
        <x:v>8.889938977794182</x:v>
      </x:c>
      <x:c r="C295" s="60" t="n">
        <x:v>6.068272247366049</x:v>
      </x:c>
      <x:c r="D295" s="60" t="n">
        <x:v>4.939684643783333</x:v>
      </x:c>
      <x:c r="E295" s="60" t="n">
        <x:v>2.9590870914614107</x:v>
      </x:c>
      <x:c r="F295" s="60" t="n">
        <x:v>6.543017039595027</x:v>
      </x:c>
      <x:c r="G295" s="60" t="n">
        <x:v>5.88</x:v>
      </x:c>
      <x:c r="H295" s="57" t="str">
        <x:v>modeled_latent_ensemble</x:v>
      </x:c>
    </x:row>
    <x:row r="296" ht="15" hidden="0" customHeight="1">
      <x:c r="A296" s="59" t="n">
        <x:v>291</x:v>
      </x:c>
      <x:c r="B296" s="59" t="n">
        <x:v>8.995349192681198</x:v>
      </x:c>
      <x:c r="C296" s="59" t="n">
        <x:v>5.984900629493065</x:v>
      </x:c>
      <x:c r="D296" s="59" t="n">
        <x:v>4.956725594729553</x:v>
      </x:c>
      <x:c r="E296" s="59" t="n">
        <x:v>2.8979248773783866</x:v>
      </x:c>
      <x:c r="F296" s="59" t="n">
        <x:v>6.565099705717799</x:v>
      </x:c>
      <x:c r="G296" s="59" t="n">
        <x:v>5.880000000000001</x:v>
      </x:c>
      <x:c r="H296" s="58" t="str">
        <x:v>modeled_latent_ensemble</x:v>
      </x:c>
    </x:row>
    <x:row r="297" ht="15" hidden="0" customHeight="1">
      <x:c r="A297" s="60" t="n">
        <x:v>292</x:v>
      </x:c>
      <x:c r="B297" s="60" t="n">
        <x:v>8.835220721433181</x:v>
      </x:c>
      <x:c r="C297" s="60" t="n">
        <x:v>6.086562436688311</x:v>
      </x:c>
      <x:c r="D297" s="60" t="n">
        <x:v>5.0077820116922345</x:v>
      </x:c>
      <x:c r="E297" s="60" t="n">
        <x:v>3.000738286562312</x:v>
      </x:c>
      <x:c r="F297" s="60" t="n">
        <x:v>6.469696543623962</x:v>
      </x:c>
      <x:c r="G297" s="60" t="n">
        <x:v>5.88</x:v>
      </x:c>
      <x:c r="H297" s="57" t="str">
        <x:v>modeled_latent_ensemble</x:v>
      </x:c>
    </x:row>
    <x:row r="298" ht="15" hidden="0" customHeight="1">
      <x:c r="A298" s="59" t="n">
        <x:v>293</x:v>
      </x:c>
      <x:c r="B298" s="59" t="n">
        <x:v>8.846977834802187</x:v>
      </x:c>
      <x:c r="C298" s="59" t="n">
        <x:v>6.01480213468538</x:v>
      </x:c>
      <x:c r="D298" s="59" t="n">
        <x:v>4.970308224677088</x:v>
      </x:c>
      <x:c r="E298" s="59" t="n">
        <x:v>3.271152767888121</x:v>
      </x:c>
      <x:c r="F298" s="59" t="n">
        <x:v>6.296759037947226</x:v>
      </x:c>
      <x:c r="G298" s="59" t="n">
        <x:v>5.880000000000001</x:v>
      </x:c>
      <x:c r="H298" s="58" t="str">
        <x:v>modeled_latent_ensemble</x:v>
      </x:c>
    </x:row>
    <x:row r="299" ht="15" hidden="0" customHeight="1">
      <x:c r="A299" s="60" t="n">
        <x:v>294</x:v>
      </x:c>
      <x:c r="B299" s="60" t="n">
        <x:v>8.777643286086985</x:v>
      </x:c>
      <x:c r="C299" s="60" t="n">
        <x:v>5.992252880125024</x:v>
      </x:c>
      <x:c r="D299" s="60" t="n">
        <x:v>5.054754774943381</x:v>
      </x:c>
      <x:c r="E299" s="60" t="n">
        <x:v>3.2443256479605083</x:v>
      </x:c>
      <x:c r="F299" s="60" t="n">
        <x:v>6.331023410884104</x:v>
      </x:c>
      <x:c r="G299" s="60" t="n">
        <x:v>5.880000000000001</x:v>
      </x:c>
      <x:c r="H299" s="57" t="str">
        <x:v>modeled_latent_ensemble</x:v>
      </x:c>
    </x:row>
    <x:row r="300" ht="15" hidden="0" customHeight="1">
      <x:c r="A300" s="59" t="n">
        <x:v>295</x:v>
      </x:c>
      <x:c r="B300" s="59" t="n">
        <x:v>8.838715914903721</x:v>
      </x:c>
      <x:c r="C300" s="59" t="n">
        <x:v>5.880120944441437</x:v>
      </x:c>
      <x:c r="D300" s="59" t="n">
        <x:v>4.9595926144441576</x:v>
      </x:c>
      <x:c r="E300" s="59" t="n">
        <x:v>3.4009653946291096</x:v>
      </x:c>
      <x:c r="F300" s="59" t="n">
        <x:v>6.320605131581576</x:v>
      </x:c>
      <x:c r="G300" s="59" t="n">
        <x:v>5.880000000000001</x:v>
      </x:c>
      <x:c r="H300" s="58" t="str">
        <x:v>modeled_latent_ensemble</x:v>
      </x:c>
    </x:row>
    <x:row r="301" ht="15" hidden="0" customHeight="1">
      <x:c r="A301" s="60" t="n">
        <x:v>296</x:v>
      </x:c>
      <x:c r="B301" s="60" t="n">
        <x:v>8.912667196687861</x:v>
      </x:c>
      <x:c r="C301" s="60" t="n">
        <x:v>5.896848369900358</x:v>
      </x:c>
      <x:c r="D301" s="60" t="n">
        <x:v>5.04419362951971</x:v>
      </x:c>
      <x:c r="E301" s="60" t="n">
        <x:v>3.1172218396217897</x:v>
      </x:c>
      <x:c r="F301" s="60" t="n">
        <x:v>6.429068964270283</x:v>
      </x:c>
      <x:c r="G301" s="60" t="n">
        <x:v>5.880000000000001</x:v>
      </x:c>
      <x:c r="H301" s="57" t="str">
        <x:v>modeled_latent_ensemble</x:v>
      </x:c>
    </x:row>
    <x:row r="302" ht="15" hidden="0" customHeight="1">
      <x:c r="A302" s="59" t="n">
        <x:v>297</x:v>
      </x:c>
      <x:c r="B302" s="59" t="n">
        <x:v>8.910760740590373</x:v>
      </x:c>
      <x:c r="C302" s="59" t="n">
        <x:v>6.000588702412745</x:v>
      </x:c>
      <x:c r="D302" s="59" t="n">
        <x:v>5.127562575843627</x:v>
      </x:c>
      <x:c r="E302" s="59" t="n">
        <x:v>2.898257672275575</x:v>
      </x:c>
      <x:c r="F302" s="59" t="n">
        <x:v>6.462830308877682</x:v>
      </x:c>
      <x:c r="G302" s="59" t="n">
        <x:v>5.880000000000001</x:v>
      </x:c>
      <x:c r="H302" s="58" t="str">
        <x:v>modeled_latent_ensemble</x:v>
      </x:c>
    </x:row>
    <x:row r="303" ht="15" hidden="0" customHeight="1">
      <x:c r="A303" s="60" t="n">
        <x:v>298</x:v>
      </x:c>
      <x:c r="B303" s="60" t="n">
        <x:v>8.924675139848082</x:v>
      </x:c>
      <x:c r="C303" s="60" t="n">
        <x:v>5.973156005539143</x:v>
      </x:c>
      <x:c r="D303" s="60" t="n">
        <x:v>5.297877099044451</x:v>
      </x:c>
      <x:c r="E303" s="60" t="n">
        <x:v>2.7586605941999354</x:v>
      </x:c>
      <x:c r="F303" s="60" t="n">
        <x:v>6.44563116136839</x:v>
      </x:c>
      <x:c r="G303" s="60" t="n">
        <x:v>5.880000000000001</x:v>
      </x:c>
      <x:c r="H303" s="57" t="str">
        <x:v>modeled_latent_ensemble</x:v>
      </x:c>
    </x:row>
    <x:row r="304" ht="15" hidden="0" customHeight="1">
      <x:c r="A304" s="59" t="n">
        <x:v>299</x:v>
      </x:c>
      <x:c r="B304" s="59" t="n">
        <x:v>8.818833309738698</x:v>
      </x:c>
      <x:c r="C304" s="59" t="n">
        <x:v>6.092973618478507</x:v>
      </x:c>
      <x:c r="D304" s="59" t="n">
        <x:v>5.194694400495623</x:v>
      </x:c>
      <x:c r="E304" s="59" t="n">
        <x:v>2.9035740220953024</x:v>
      </x:c>
      <x:c r="F304" s="59" t="n">
        <x:v>6.389924649191871</x:v>
      </x:c>
      <x:c r="G304" s="59" t="n">
        <x:v>5.880000000000001</x:v>
      </x:c>
      <x:c r="H304" s="58" t="str">
        <x:v>modeled_latent_ensemble</x:v>
      </x:c>
    </x:row>
    <x:row r="305" ht="15" hidden="0" customHeight="1">
      <x:c r="A305" s="60" t="n">
        <x:v>300</x:v>
      </x:c>
      <x:c r="B305" s="60" t="n">
        <x:v>8.948211620872195</x:v>
      </x:c>
      <x:c r="C305" s="60" t="n">
        <x:v>5.95879572303017</x:v>
      </x:c>
      <x:c r="D305" s="60" t="n">
        <x:v>5.212682305379236</x:v>
      </x:c>
      <x:c r="E305" s="60" t="n">
        <x:v>2.7259973301235747</x:v>
      </x:c>
      <x:c r="F305" s="60" t="n">
        <x:v>6.554313020594825</x:v>
      </x:c>
      <x:c r="G305" s="60" t="n">
        <x:v>5.880000000000001</x:v>
      </x:c>
      <x:c r="H305" s="57" t="str">
        <x:v>modeled_latent_ensemble</x:v>
      </x:c>
    </x:row>
    <x:row r="306" ht="15" hidden="0" customHeight="1">
      <x:c r="A306" s="59" t="n">
        <x:v>301</x:v>
      </x:c>
      <x:c r="B306" s="59" t="n">
        <x:v>8.930775838371174</x:v>
      </x:c>
      <x:c r="C306" s="59" t="n">
        <x:v>5.971125535032311</x:v>
      </x:c>
      <x:c r="D306" s="59" t="n">
        <x:v>5.159210737824709</x:v>
      </x:c>
      <x:c r="E306" s="59" t="n">
        <x:v>3.065960496184648</x:v>
      </x:c>
      <x:c r="F306" s="59" t="n">
        <x:v>6.272927392587159</x:v>
      </x:c>
      <x:c r="G306" s="59" t="n">
        <x:v>5.880000000000001</x:v>
      </x:c>
      <x:c r="H306" s="58" t="str">
        <x:v>modeled_latent_ensemble</x:v>
      </x:c>
    </x:row>
    <x:row r="307" ht="15" hidden="0" customHeight="1">
      <x:c r="A307" s="60" t="n">
        <x:v>302</x:v>
      </x:c>
      <x:c r="B307" s="60" t="n">
        <x:v>8.988559404909896</x:v>
      </x:c>
      <x:c r="C307" s="60" t="n">
        <x:v>6.1566056943018035</x:v>
      </x:c>
      <x:c r="D307" s="60" t="n">
        <x:v>5.273413515681363</x:v>
      </x:c>
      <x:c r="E307" s="60" t="n">
        <x:v>2.731628717249716</x:v>
      </x:c>
      <x:c r="F307" s="60" t="n">
        <x:v>6.249792667857222</x:v>
      </x:c>
      <x:c r="G307" s="60" t="n">
        <x:v>5.88</x:v>
      </x:c>
      <x:c r="H307" s="57" t="str">
        <x:v>modeled_latent_ensemble</x:v>
      </x:c>
    </x:row>
    <x:row r="308" ht="15" hidden="0" customHeight="1">
      <x:c r="A308" s="59" t="n">
        <x:v>303</x:v>
      </x:c>
      <x:c r="B308" s="59" t="n">
        <x:v>8.784807719693974</x:v>
      </x:c>
      <x:c r="C308" s="59" t="n">
        <x:v>6.044573301573063</x:v>
      </x:c>
      <x:c r="D308" s="59" t="n">
        <x:v>5.017548818990385</x:v>
      </x:c>
      <x:c r="E308" s="59" t="n">
        <x:v>3.0551251000061734</x:v>
      </x:c>
      <x:c r="F308" s="59" t="n">
        <x:v>6.497945059736404</x:v>
      </x:c>
      <x:c r="G308" s="59" t="n">
        <x:v>5.88</x:v>
      </x:c>
      <x:c r="H308" s="58" t="str">
        <x:v>modeled_latent_ensemble</x:v>
      </x:c>
    </x:row>
    <x:row r="309" ht="15" hidden="0" customHeight="1">
      <x:c r="A309" s="60" t="n">
        <x:v>304</x:v>
      </x:c>
      <x:c r="B309" s="60" t="n">
        <x:v>8.878755981090647</x:v>
      </x:c>
      <x:c r="C309" s="60" t="n">
        <x:v>6.082851872408508</x:v>
      </x:c>
      <x:c r="D309" s="60" t="n">
        <x:v>5.151669005397171</x:v>
      </x:c>
      <x:c r="E309" s="60" t="n">
        <x:v>2.7719309636559366</x:v>
      </x:c>
      <x:c r="F309" s="60" t="n">
        <x:v>6.51479217744774</x:v>
      </x:c>
      <x:c r="G309" s="60" t="n">
        <x:v>5.880000000000001</x:v>
      </x:c>
      <x:c r="H309" s="57" t="str">
        <x:v>modeled_latent_ensemble</x:v>
      </x:c>
    </x:row>
    <x:row r="310" ht="15" hidden="0" customHeight="1">
      <x:c r="A310" s="59" t="n">
        <x:v>305</x:v>
      </x:c>
      <x:c r="B310" s="59" t="n">
        <x:v>8.986392137176528</x:v>
      </x:c>
      <x:c r="C310" s="59" t="n">
        <x:v>5.932709475126189</x:v>
      </x:c>
      <x:c r="D310" s="59" t="n">
        <x:v>5.014081563853748</x:v>
      </x:c>
      <x:c r="E310" s="59" t="n">
        <x:v>3.179412052696626</x:v>
      </x:c>
      <x:c r="F310" s="59" t="n">
        <x:v>6.28740477114691</x:v>
      </x:c>
      <x:c r="G310" s="59" t="n">
        <x:v>5.880000000000001</x:v>
      </x:c>
      <x:c r="H310" s="58" t="str">
        <x:v>modeled_latent_ensemble</x:v>
      </x:c>
    </x:row>
    <x:row r="311" ht="15" hidden="0" customHeight="1">
      <x:c r="A311" s="60" t="n">
        <x:v>306</x:v>
      </x:c>
      <x:c r="B311" s="60" t="n">
        <x:v>8.933293134139118</x:v>
      </x:c>
      <x:c r="C311" s="60" t="n">
        <x:v>6.090327139325435</x:v>
      </x:c>
      <x:c r="D311" s="60" t="n">
        <x:v>4.964949390061584</x:v>
      </x:c>
      <x:c r="E311" s="60" t="n">
        <x:v>3.0803591735202347</x:v>
      </x:c>
      <x:c r="F311" s="60" t="n">
        <x:v>6.33107116295363</x:v>
      </x:c>
      <x:c r="G311" s="60" t="n">
        <x:v>5.880000000000001</x:v>
      </x:c>
      <x:c r="H311" s="57" t="str">
        <x:v>modeled_latent_ensemble</x:v>
      </x:c>
    </x:row>
    <x:row r="312" ht="15" hidden="0" customHeight="1">
      <x:c r="A312" s="59" t="n">
        <x:v>307</x:v>
      </x:c>
      <x:c r="B312" s="59" t="n">
        <x:v>8.788499059162254</x:v>
      </x:c>
      <x:c r="C312" s="59" t="n">
        <x:v>5.984864892562015</x:v>
      </x:c>
      <x:c r="D312" s="59" t="n">
        <x:v>5.055910290490347</x:v>
      </x:c>
      <x:c r="E312" s="59" t="n">
        <x:v>3.163197144807143</x:v>
      </x:c>
      <x:c r="F312" s="59" t="n">
        <x:v>6.407528612978242</x:v>
      </x:c>
      <x:c r="G312" s="59" t="n">
        <x:v>5.88</x:v>
      </x:c>
      <x:c r="H312" s="58" t="str">
        <x:v>modeled_latent_ensemble</x:v>
      </x:c>
    </x:row>
    <x:row r="313" ht="15" hidden="0" customHeight="1">
      <x:c r="A313" s="60" t="n">
        <x:v>308</x:v>
      </x:c>
      <x:c r="B313" s="60" t="n">
        <x:v>9.004211016642683</x:v>
      </x:c>
      <x:c r="C313" s="60" t="n">
        <x:v>6.189758702089332</x:v>
      </x:c>
      <x:c r="D313" s="60" t="n">
        <x:v>5.066475196022421</x:v>
      </x:c>
      <x:c r="E313" s="60" t="n">
        <x:v>2.6061649164999197</x:v>
      </x:c>
      <x:c r="F313" s="60" t="n">
        <x:v>6.533390168745646</x:v>
      </x:c>
      <x:c r="G313" s="60" t="n">
        <x:v>5.880000000000001</x:v>
      </x:c>
      <x:c r="H313" s="57" t="str">
        <x:v>modeled_latent_ensemble</x:v>
      </x:c>
    </x:row>
    <x:row r="314" ht="15" hidden="0" customHeight="1">
      <x:c r="A314" s="59" t="n">
        <x:v>309</x:v>
      </x:c>
      <x:c r="B314" s="59" t="n">
        <x:v>8.874519358523367</x:v>
      </x:c>
      <x:c r="C314" s="59" t="n">
        <x:v>6.005697518084275</x:v>
      </x:c>
      <x:c r="D314" s="59" t="n">
        <x:v>5.287784121365586</x:v>
      </x:c>
      <x:c r="E314" s="59" t="n">
        <x:v>2.709460468110149</x:v>
      </x:c>
      <x:c r="F314" s="59" t="n">
        <x:v>6.522538533916624</x:v>
      </x:c>
      <x:c r="G314" s="59" t="n">
        <x:v>5.88</x:v>
      </x:c>
      <x:c r="H314" s="58" t="str">
        <x:v>modeled_latent_ensemble</x:v>
      </x:c>
    </x:row>
    <x:row r="315" ht="15" hidden="0" customHeight="1">
      <x:c r="A315" s="60" t="n">
        <x:v>310</x:v>
      </x:c>
      <x:c r="B315" s="60" t="n">
        <x:v>8.883600639509607</x:v>
      </x:c>
      <x:c r="C315" s="60" t="n">
        <x:v>6.012065394757428</x:v>
      </x:c>
      <x:c r="D315" s="60" t="n">
        <x:v>4.9621296994082975</x:v>
      </x:c>
      <x:c r="E315" s="60" t="n">
        <x:v>2.9453058668543974</x:v>
      </x:c>
      <x:c r="F315" s="60" t="n">
        <x:v>6.59689839947027</x:v>
      </x:c>
      <x:c r="G315" s="60" t="n">
        <x:v>5.88</x:v>
      </x:c>
      <x:c r="H315" s="57" t="str">
        <x:v>modeled_latent_ensemble</x:v>
      </x:c>
    </x:row>
    <x:row r="316" ht="15" hidden="0" customHeight="1">
      <x:c r="A316" s="59" t="n">
        <x:v>311</x:v>
      </x:c>
      <x:c r="B316" s="59" t="n">
        <x:v>8.998369347604408</x:v>
      </x:c>
      <x:c r="C316" s="59" t="n">
        <x:v>6.104581461416149</x:v>
      </x:c>
      <x:c r="D316" s="59" t="n">
        <x:v>4.990888294411793</x:v>
      </x:c>
      <x:c r="E316" s="59" t="n">
        <x:v>2.6335280693687575</x:v>
      </x:c>
      <x:c r="F316" s="59" t="n">
        <x:v>6.672632827198894</x:v>
      </x:c>
      <x:c r="G316" s="59" t="n">
        <x:v>5.880000000000001</x:v>
      </x:c>
      <x:c r="H316" s="58" t="str">
        <x:v>modeled_latent_ensemble</x:v>
      </x:c>
    </x:row>
    <x:row r="317" ht="15" hidden="0" customHeight="1">
      <x:c r="A317" s="60" t="n">
        <x:v>312</x:v>
      </x:c>
      <x:c r="B317" s="60" t="n">
        <x:v>8.841728425907327</x:v>
      </x:c>
      <x:c r="C317" s="60" t="n">
        <x:v>5.937087661894709</x:v>
      </x:c>
      <x:c r="D317" s="60" t="n">
        <x:v>4.965459829313802</x:v>
      </x:c>
      <x:c r="E317" s="60" t="n">
        <x:v>3.3750285816908767</x:v>
      </x:c>
      <x:c r="F317" s="60" t="n">
        <x:v>6.280695501193287</x:v>
      </x:c>
      <x:c r="G317" s="60" t="n">
        <x:v>5.88</x:v>
      </x:c>
      <x:c r="H317" s="57" t="str">
        <x:v>modeled_latent_ensemble</x:v>
      </x:c>
    </x:row>
    <x:row r="318" ht="15" hidden="0" customHeight="1">
      <x:c r="A318" s="59" t="n">
        <x:v>313</x:v>
      </x:c>
      <x:c r="B318" s="59" t="n">
        <x:v>8.743247402579149</x:v>
      </x:c>
      <x:c r="C318" s="59" t="n">
        <x:v>5.97468818576767</x:v>
      </x:c>
      <x:c r="D318" s="59" t="n">
        <x:v>5.095387251556618</x:v>
      </x:c>
      <x:c r="E318" s="59" t="n">
        <x:v>3.1455011537606876</x:v>
      </x:c>
      <x:c r="F318" s="59" t="n">
        <x:v>6.441176006335875</x:v>
      </x:c>
      <x:c r="G318" s="59" t="n">
        <x:v>5.88</x:v>
      </x:c>
      <x:c r="H318" s="58" t="str">
        <x:v>modeled_latent_ensemble</x:v>
      </x:c>
    </x:row>
    <x:row r="319" ht="15" hidden="0" customHeight="1">
      <x:c r="A319" s="60" t="n">
        <x:v>314</x:v>
      </x:c>
      <x:c r="B319" s="60" t="n">
        <x:v>8.916297080085034</x:v>
      </x:c>
      <x:c r="C319" s="60" t="n">
        <x:v>5.9960075099067875</x:v>
      </x:c>
      <x:c r="D319" s="60" t="n">
        <x:v>5.059722007557674</x:v>
      </x:c>
      <x:c r="E319" s="60" t="n">
        <x:v>2.8291322856937766</x:v>
      </x:c>
      <x:c r="F319" s="60" t="n">
        <x:v>6.59884111675673</x:v>
      </x:c>
      <x:c r="G319" s="60" t="n">
        <x:v>5.880000000000001</x:v>
      </x:c>
      <x:c r="H319" s="57" t="str">
        <x:v>modeled_latent_ensemble</x:v>
      </x:c>
    </x:row>
    <x:row r="320" ht="15" hidden="0" customHeight="1">
      <x:c r="A320" s="59" t="n">
        <x:v>315</x:v>
      </x:c>
      <x:c r="B320" s="59" t="n">
        <x:v>8.909847091321767</x:v>
      </x:c>
      <x:c r="C320" s="59" t="n">
        <x:v>6.124788384999268</x:v>
      </x:c>
      <x:c r="D320" s="59" t="n">
        <x:v>5.094953902253506</x:v>
      </x:c>
      <x:c r="E320" s="59" t="n">
        <x:v>2.8757911565649086</x:v>
      </x:c>
      <x:c r="F320" s="59" t="n">
        <x:v>6.394619464860552</x:v>
      </x:c>
      <x:c r="G320" s="59" t="n">
        <x:v>5.880000000000001</x:v>
      </x:c>
      <x:c r="H320" s="58" t="str">
        <x:v>modeled_latent_ensemble</x:v>
      </x:c>
    </x:row>
    <x:row r="321" ht="15" hidden="0" customHeight="1">
      <x:c r="A321" s="60" t="n">
        <x:v>316</x:v>
      </x:c>
      <x:c r="B321" s="60" t="n">
        <x:v>8.851302749711897</x:v>
      </x:c>
      <x:c r="C321" s="60" t="n">
        <x:v>6.003598818473783</x:v>
      </x:c>
      <x:c r="D321" s="60" t="n">
        <x:v>5.250152615681966</x:v>
      </x:c>
      <x:c r="E321" s="60" t="n">
        <x:v>2.904278095649757</x:v>
      </x:c>
      <x:c r="F321" s="60" t="n">
        <x:v>6.390667720482599</x:v>
      </x:c>
      <x:c r="G321" s="60" t="n">
        <x:v>5.88</x:v>
      </x:c>
      <x:c r="H321" s="57" t="str">
        <x:v>modeled_latent_ensemble</x:v>
      </x:c>
    </x:row>
    <x:row r="322" ht="15" hidden="0" customHeight="1">
      <x:c r="A322" s="59" t="n">
        <x:v>317</x:v>
      </x:c>
      <x:c r="B322" s="59" t="n">
        <x:v>8.748234460200768</x:v>
      </x:c>
      <x:c r="C322" s="59" t="n">
        <x:v>5.900401928891236</x:v>
      </x:c>
      <x:c r="D322" s="59" t="n">
        <x:v>5.057085930240051</x:v>
      </x:c>
      <x:c r="E322" s="59" t="n">
        <x:v>3.209171741724826</x:v>
      </x:c>
      <x:c r="F322" s="59" t="n">
        <x:v>6.485105938943119</x:v>
      </x:c>
      <x:c r="G322" s="59" t="n">
        <x:v>5.88</x:v>
      </x:c>
      <x:c r="H322" s="58" t="str">
        <x:v>modeled_latent_ensemble</x:v>
      </x:c>
    </x:row>
    <x:row r="323" ht="15" hidden="0" customHeight="1">
      <x:c r="A323" s="60" t="n">
        <x:v>318</x:v>
      </x:c>
      <x:c r="B323" s="60" t="n">
        <x:v>8.781682538779522</x:v>
      </x:c>
      <x:c r="C323" s="60" t="n">
        <x:v>6.1488038327465615</x:v>
      </x:c>
      <x:c r="D323" s="60" t="n">
        <x:v>5.023776745294446</x:v>
      </x:c>
      <x:c r="E323" s="60" t="n">
        <x:v>2.7824884831490975</x:v>
      </x:c>
      <x:c r="F323" s="60" t="n">
        <x:v>6.6632484000303736</x:v>
      </x:c>
      <x:c r="G323" s="60" t="n">
        <x:v>5.88</x:v>
      </x:c>
      <x:c r="H323" s="57" t="str">
        <x:v>modeled_latent_ensemble</x:v>
      </x:c>
    </x:row>
    <x:row r="324" ht="15" hidden="0" customHeight="1">
      <x:c r="A324" s="59" t="n">
        <x:v>319</x:v>
      </x:c>
      <x:c r="B324" s="59" t="n">
        <x:v>8.857978298774624</x:v>
      </x:c>
      <x:c r="C324" s="59" t="n">
        <x:v>6.041254732472616</x:v>
      </x:c>
      <x:c r="D324" s="59" t="n">
        <x:v>5.175166758309348</x:v>
      </x:c>
      <x:c r="E324" s="59" t="n">
        <x:v>2.7823327507045112</x:v>
      </x:c>
      <x:c r="F324" s="59" t="n">
        <x:v>6.543267459738902</x:v>
      </x:c>
      <x:c r="G324" s="59" t="n">
        <x:v>5.880000000000001</x:v>
      </x:c>
      <x:c r="H324" s="58" t="str">
        <x:v>modeled_latent_ensemble</x:v>
      </x:c>
    </x:row>
    <x:row r="325" ht="15" hidden="0" customHeight="1">
      <x:c r="A325" s="60" t="n">
        <x:v>320</x:v>
      </x:c>
      <x:c r="B325" s="60" t="n">
        <x:v>8.776273351314037</x:v>
      </x:c>
      <x:c r="C325" s="60" t="n">
        <x:v>5.88496217392508</x:v>
      </x:c>
      <x:c r="D325" s="60" t="n">
        <x:v>5.204723069317701</x:v>
      </x:c>
      <x:c r="E325" s="60" t="n">
        <x:v>3.196783289040322</x:v>
      </x:c>
      <x:c r="F325" s="60" t="n">
        <x:v>6.337258116402861</x:v>
      </x:c>
      <x:c r="G325" s="60" t="n">
        <x:v>5.880000000000001</x:v>
      </x:c>
      <x:c r="H325" s="57" t="str">
        <x:v>modeled_latent_ensemble</x:v>
      </x:c>
    </x:row>
    <x:row r="326" ht="15" hidden="0" customHeight="1">
      <x:c r="A326" s="59" t="n">
        <x:v>321</x:v>
      </x:c>
      <x:c r="B326" s="59" t="n">
        <x:v>9.007335640506987</x:v>
      </x:c>
      <x:c r="C326" s="59" t="n">
        <x:v>5.944094979896835</x:v>
      </x:c>
      <x:c r="D326" s="59" t="n">
        <x:v>4.95176388996071</x:v>
      </x:c>
      <x:c r="E326" s="59" t="n">
        <x:v>3.3389893130854147</x:v>
      </x:c>
      <x:c r="F326" s="59" t="n">
        <x:v>6.157816176550053</x:v>
      </x:c>
      <x:c r="G326" s="59" t="n">
        <x:v>5.88</x:v>
      </x:c>
      <x:c r="H326" s="58" t="str">
        <x:v>modeled_latent_ensemble</x:v>
      </x:c>
    </x:row>
    <x:row r="327" ht="15" hidden="0" customHeight="1">
      <x:c r="A327" s="60" t="n">
        <x:v>322</x:v>
      </x:c>
      <x:c r="B327" s="60" t="n">
        <x:v>8.913411585586932</x:v>
      </x:c>
      <x:c r="C327" s="60" t="n">
        <x:v>6.004443334939312</x:v>
      </x:c>
      <x:c r="D327" s="60" t="n">
        <x:v>5.235996702664082</x:v>
      </x:c>
      <x:c r="E327" s="60" t="n">
        <x:v>2.6775979220722057</x:v>
      </x:c>
      <x:c r="F327" s="60" t="n">
        <x:v>6.56855045473747</x:v>
      </x:c>
      <x:c r="G327" s="60" t="n">
        <x:v>5.880000000000001</x:v>
      </x:c>
      <x:c r="H327" s="57" t="str">
        <x:v>modeled_latent_ensemble</x:v>
      </x:c>
    </x:row>
    <x:row r="328" ht="15" hidden="0" customHeight="1">
      <x:c r="A328" s="59" t="n">
        <x:v>323</x:v>
      </x:c>
      <x:c r="B328" s="59" t="n">
        <x:v>8.915863029997556</x:v>
      </x:c>
      <x:c r="C328" s="59" t="n">
        <x:v>6.066216042653453</x:v>
      </x:c>
      <x:c r="D328" s="59" t="n">
        <x:v>4.889069661099018</x:v>
      </x:c>
      <x:c r="E328" s="59" t="n">
        <x:v>3.067100273371172</x:v>
      </x:c>
      <x:c r="F328" s="59" t="n">
        <x:v>6.461750992878802</x:v>
      </x:c>
      <x:c r="G328" s="59" t="n">
        <x:v>5.88</x:v>
      </x:c>
      <x:c r="H328" s="58" t="str">
        <x:v>modeled_latent_ensemble</x:v>
      </x:c>
    </x:row>
    <x:row r="329" ht="15" hidden="0" customHeight="1">
      <x:c r="A329" s="60" t="n">
        <x:v>324</x:v>
      </x:c>
      <x:c r="B329" s="60" t="n">
        <x:v>8.856822185178295</x:v>
      </x:c>
      <x:c r="C329" s="60" t="n">
        <x:v>5.919613858010594</x:v>
      </x:c>
      <x:c r="D329" s="60" t="n">
        <x:v>4.9844633012064685</x:v>
      </x:c>
      <x:c r="E329" s="60" t="n">
        <x:v>3.13748833619373</x:v>
      </x:c>
      <x:c r="F329" s="60" t="n">
        <x:v>6.501612319410914</x:v>
      </x:c>
      <x:c r="G329" s="60" t="n">
        <x:v>5.880000000000001</x:v>
      </x:c>
      <x:c r="H329" s="57" t="str">
        <x:v>modeled_latent_ensemble</x:v>
      </x:c>
    </x:row>
    <x:row r="330" ht="15" hidden="0" customHeight="1">
      <x:c r="A330" s="59" t="n">
        <x:v>325</x:v>
      </x:c>
      <x:c r="B330" s="59" t="n">
        <x:v>8.923670975816755</x:v>
      </x:c>
      <x:c r="C330" s="59" t="n">
        <x:v>6.1655322706138245</x:v>
      </x:c>
      <x:c r="D330" s="59" t="n">
        <x:v>5.10209221017545</x:v>
      </x:c>
      <x:c r="E330" s="59" t="n">
        <x:v>2.850568248422327</x:v>
      </x:c>
      <x:c r="F330" s="59" t="n">
        <x:v>6.358136294971645</x:v>
      </x:c>
      <x:c r="G330" s="59" t="n">
        <x:v>5.88</x:v>
      </x:c>
      <x:c r="H330" s="58" t="str">
        <x:v>modeled_latent_ensemble</x:v>
      </x:c>
    </x:row>
    <x:row r="331" ht="15" hidden="0" customHeight="1">
      <x:c r="A331" s="60" t="n">
        <x:v>326</x:v>
      </x:c>
      <x:c r="B331" s="60" t="n">
        <x:v>9.009201860422273</x:v>
      </x:c>
      <x:c r="C331" s="60" t="n">
        <x:v>6.184089180723187</x:v>
      </x:c>
      <x:c r="D331" s="60" t="n">
        <x:v>5.076708250103652</x:v>
      </x:c>
      <x:c r="E331" s="60" t="n">
        <x:v>2.757531165784414</x:v>
      </x:c>
      <x:c r="F331" s="60" t="n">
        <x:v>6.372469542966476</x:v>
      </x:c>
      <x:c r="G331" s="60" t="n">
        <x:v>5.880000000000001</x:v>
      </x:c>
      <x:c r="H331" s="57" t="str">
        <x:v>modeled_latent_ensemble</x:v>
      </x:c>
    </x:row>
    <x:row r="332" ht="15" hidden="0" customHeight="1">
      <x:c r="A332" s="59" t="n">
        <x:v>327</x:v>
      </x:c>
      <x:c r="B332" s="59" t="n">
        <x:v>8.896681499911699</x:v>
      </x:c>
      <x:c r="C332" s="59" t="n">
        <x:v>6.032189183463976</x:v>
      </x:c>
      <x:c r="D332" s="59" t="n">
        <x:v>5.010499154245171</x:v>
      </x:c>
      <x:c r="E332" s="59" t="n">
        <x:v>3.0303936794912945</x:v>
      </x:c>
      <x:c r="F332" s="59" t="n">
        <x:v>6.43023648288786</x:v>
      </x:c>
      <x:c r="G332" s="59" t="n">
        <x:v>5.88</x:v>
      </x:c>
      <x:c r="H332" s="58" t="str">
        <x:v>modeled_latent_ensemble</x:v>
      </x:c>
    </x:row>
    <x:row r="333" ht="15" hidden="0" customHeight="1">
      <x:c r="A333" s="60" t="n">
        <x:v>328</x:v>
      </x:c>
      <x:c r="B333" s="60" t="n">
        <x:v>8.90057376114051</x:v>
      </x:c>
      <x:c r="C333" s="60" t="n">
        <x:v>6.036382586386897</x:v>
      </x:c>
      <x:c r="D333" s="60" t="n">
        <x:v>4.846077781895021</x:v>
      </x:c>
      <x:c r="E333" s="60" t="n">
        <x:v>3.260332283206279</x:v>
      </x:c>
      <x:c r="F333" s="60" t="n">
        <x:v>6.356633587371294</x:v>
      </x:c>
      <x:c r="G333" s="60" t="n">
        <x:v>5.88</x:v>
      </x:c>
      <x:c r="H333" s="57" t="str">
        <x:v>modeled_latent_ensemble</x:v>
      </x:c>
    </x:row>
    <x:row r="334" ht="15" hidden="0" customHeight="1">
      <x:c r="A334" s="59" t="n">
        <x:v>329</x:v>
      </x:c>
      <x:c r="B334" s="59" t="n">
        <x:v>8.951828325658159</x:v>
      </x:c>
      <x:c r="C334" s="59" t="n">
        <x:v>6.106295246929439</x:v>
      </x:c>
      <x:c r="D334" s="59" t="n">
        <x:v>5.176984045259196</x:v>
      </x:c>
      <x:c r="E334" s="59" t="n">
        <x:v>2.7923481330591207</x:v>
      </x:c>
      <x:c r="F334" s="59" t="n">
        <x:v>6.372544249094085</x:v>
      </x:c>
      <x:c r="G334" s="59" t="n">
        <x:v>5.88</x:v>
      </x:c>
      <x:c r="H334" s="58" t="str">
        <x:v>modeled_latent_ensemble</x:v>
      </x:c>
    </x:row>
    <x:row r="335" ht="15" hidden="0" customHeight="1">
      <x:c r="A335" s="60" t="n">
        <x:v>330</x:v>
      </x:c>
      <x:c r="B335" s="60" t="n">
        <x:v>8.810796264402505</x:v>
      </x:c>
      <x:c r="C335" s="60" t="n">
        <x:v>5.975229319616616</x:v>
      </x:c>
      <x:c r="D335" s="60" t="n">
        <x:v>4.929381284305263</x:v>
      </x:c>
      <x:c r="E335" s="60" t="n">
        <x:v>3.2346453970663975</x:v>
      </x:c>
      <x:c r="F335" s="60" t="n">
        <x:v>6.4499477346092196</x:v>
      </x:c>
      <x:c r="G335" s="60" t="n">
        <x:v>5.880000000000001</x:v>
      </x:c>
      <x:c r="H335" s="57" t="str">
        <x:v>modeled_latent_ensemble</x:v>
      </x:c>
    </x:row>
    <x:row r="336" ht="15" hidden="0" customHeight="1">
      <x:c r="A336" s="59" t="n">
        <x:v>331</x:v>
      </x:c>
      <x:c r="B336" s="59" t="n">
        <x:v>8.911121869834075</x:v>
      </x:c>
      <x:c r="C336" s="59" t="n">
        <x:v>6.1930536301711685</x:v>
      </x:c>
      <x:c r="D336" s="59" t="n">
        <x:v>5.20497234708878</x:v>
      </x:c>
      <x:c r="E336" s="59" t="n">
        <x:v>2.8424420250795133</x:v>
      </x:c>
      <x:c r="F336" s="59" t="n">
        <x:v>6.248410127826465</x:v>
      </x:c>
      <x:c r="G336" s="59" t="n">
        <x:v>5.880000000000001</x:v>
      </x:c>
      <x:c r="H336" s="58" t="str">
        <x:v>modeled_latent_ensemble</x:v>
      </x:c>
    </x:row>
    <x:row r="337" ht="15" hidden="0" customHeight="1">
      <x:c r="A337" s="60" t="n">
        <x:v>332</x:v>
      </x:c>
      <x:c r="B337" s="60" t="n">
        <x:v>8.784748067253162</x:v>
      </x:c>
      <x:c r="C337" s="60" t="n">
        <x:v>5.93284540495964</x:v>
      </x:c>
      <x:c r="D337" s="60" t="n">
        <x:v>4.909337419261593</x:v>
      </x:c>
      <x:c r="E337" s="60" t="n">
        <x:v>3.279549009523668</x:v>
      </x:c>
      <x:c r="F337" s="60" t="n">
        <x:v>6.493520099001938</x:v>
      </x:c>
      <x:c r="G337" s="60" t="n">
        <x:v>5.88</x:v>
      </x:c>
      <x:c r="H337" s="57" t="str">
        <x:v>modeled_latent_ensemble</x:v>
      </x:c>
    </x:row>
    <x:row r="338" ht="15" hidden="0" customHeight="1">
      <x:c r="A338" s="59" t="n">
        <x:v>333</x:v>
      </x:c>
      <x:c r="B338" s="59" t="n">
        <x:v>8.891260634385498</x:v>
      </x:c>
      <x:c r="C338" s="59" t="n">
        <x:v>5.9345619936963</x:v>
      </x:c>
      <x:c r="D338" s="59" t="n">
        <x:v>5.009463451946048</x:v>
      </x:c>
      <x:c r="E338" s="59" t="n">
        <x:v>3.174542288642695</x:v>
      </x:c>
      <x:c r="F338" s="59" t="n">
        <x:v>6.390171631329459</x:v>
      </x:c>
      <x:c r="G338" s="59" t="n">
        <x:v>5.88</x:v>
      </x:c>
      <x:c r="H338" s="58" t="str">
        <x:v>modeled_latent_ensemble</x:v>
      </x:c>
    </x:row>
    <x:row r="339" ht="15" hidden="0" customHeight="1">
      <x:c r="A339" s="60" t="n">
        <x:v>334</x:v>
      </x:c>
      <x:c r="B339" s="60" t="n">
        <x:v>8.880588006180917</x:v>
      </x:c>
      <x:c r="C339" s="60" t="n">
        <x:v>5.992622674942491</x:v>
      </x:c>
      <x:c r="D339" s="60" t="n">
        <x:v>4.980684204044752</x:v>
      </x:c>
      <x:c r="E339" s="60" t="n">
        <x:v>3.218920671290013</x:v>
      </x:c>
      <x:c r="F339" s="60" t="n">
        <x:v>6.327184443541829</x:v>
      </x:c>
      <x:c r="G339" s="60" t="n">
        <x:v>5.880000000000001</x:v>
      </x:c>
      <x:c r="H339" s="57" t="str">
        <x:v>modeled_latent_ensemble</x:v>
      </x:c>
    </x:row>
    <x:row r="340" ht="15" hidden="0" customHeight="1">
      <x:c r="A340" s="59" t="n">
        <x:v>335</x:v>
      </x:c>
      <x:c r="B340" s="59" t="n">
        <x:v>8.799646352983507</x:v>
      </x:c>
      <x:c r="C340" s="59" t="n">
        <x:v>6.034729006895923</x:v>
      </x:c>
      <x:c r="D340" s="59" t="n">
        <x:v>4.90578745062388</x:v>
      </x:c>
      <x:c r="E340" s="59" t="n">
        <x:v>3.218027676339669</x:v>
      </x:c>
      <x:c r="F340" s="59" t="n">
        <x:v>6.441809513157023</x:v>
      </x:c>
      <x:c r="G340" s="59" t="n">
        <x:v>5.880000000000001</x:v>
      </x:c>
      <x:c r="H340" s="58" t="str">
        <x:v>modeled_latent_ensemble</x:v>
      </x:c>
    </x:row>
    <x:row r="341" ht="15" hidden="0" customHeight="1">
      <x:c r="A341" s="60" t="n">
        <x:v>336</x:v>
      </x:c>
      <x:c r="B341" s="60" t="n">
        <x:v>8.895529794077966</x:v>
      </x:c>
      <x:c r="C341" s="60" t="n">
        <x:v>6.10712402802275</x:v>
      </x:c>
      <x:c r="D341" s="60" t="n">
        <x:v>5.0113463481891065</x:v>
      </x:c>
      <x:c r="E341" s="60" t="n">
        <x:v>2.929460206850423</x:v>
      </x:c>
      <x:c r="F341" s="60" t="n">
        <x:v>6.456539622859756</x:v>
      </x:c>
      <x:c r="G341" s="60" t="n">
        <x:v>5.88</x:v>
      </x:c>
      <x:c r="H341" s="57" t="str">
        <x:v>modeled_latent_ensemble</x:v>
      </x:c>
    </x:row>
    <x:row r="342" ht="15" hidden="0" customHeight="1">
      <x:c r="A342" s="59" t="n">
        <x:v>337</x:v>
      </x:c>
      <x:c r="B342" s="59" t="n">
        <x:v>8.752494415573208</x:v>
      </x:c>
      <x:c r="C342" s="59" t="n">
        <x:v>5.893708739864406</x:v>
      </x:c>
      <x:c r="D342" s="59" t="n">
        <x:v>5.02612960675027</x:v>
      </x:c>
      <x:c r="E342" s="59" t="n">
        <x:v>3.4802486635103422</x:v>
      </x:c>
      <x:c r="F342" s="59" t="n">
        <x:v>6.247418574301774</x:v>
      </x:c>
      <x:c r="G342" s="59" t="n">
        <x:v>5.88</x:v>
      </x:c>
      <x:c r="H342" s="58" t="str">
        <x:v>modeled_latent_ensemble</x:v>
      </x:c>
    </x:row>
    <x:row r="343" ht="15" hidden="0" customHeight="1">
      <x:c r="A343" s="60" t="n">
        <x:v>338</x:v>
      </x:c>
      <x:c r="B343" s="60" t="n">
        <x:v>8.754520806065559</x:v>
      </x:c>
      <x:c r="C343" s="60" t="n">
        <x:v>5.964169420314499</x:v>
      </x:c>
      <x:c r="D343" s="60" t="n">
        <x:v>5.2553671141387115</x:v>
      </x:c>
      <x:c r="E343" s="60" t="n">
        <x:v>2.87664518001494</x:v>
      </x:c>
      <x:c r="F343" s="60" t="n">
        <x:v>6.549297479466292</x:v>
      </x:c>
      <x:c r="G343" s="60" t="n">
        <x:v>5.88</x:v>
      </x:c>
      <x:c r="H343" s="57" t="str">
        <x:v>modeled_latent_ensemble</x:v>
      </x:c>
    </x:row>
    <x:row r="344" ht="15" hidden="0" customHeight="1">
      <x:c r="A344" s="59" t="n">
        <x:v>339</x:v>
      </x:c>
      <x:c r="B344" s="59" t="n">
        <x:v>8.796057042322506</x:v>
      </x:c>
      <x:c r="C344" s="59" t="n">
        <x:v>5.9371988287135755</x:v>
      </x:c>
      <x:c r="D344" s="59" t="n">
        <x:v>4.989981024713515</x:v>
      </x:c>
      <x:c r="E344" s="59" t="n">
        <x:v>3.4127569106996147</x:v>
      </x:c>
      <x:c r="F344" s="59" t="n">
        <x:v>6.264006193550789</x:v>
      </x:c>
      <x:c r="G344" s="59" t="n">
        <x:v>5.88</x:v>
      </x:c>
      <x:c r="H344" s="58" t="str">
        <x:v>modeled_latent_ensemble</x:v>
      </x:c>
    </x:row>
    <x:row r="345" ht="15" hidden="0" customHeight="1">
      <x:c r="A345" s="60" t="n">
        <x:v>340</x:v>
      </x:c>
      <x:c r="B345" s="60" t="n">
        <x:v>8.901899484230427</x:v>
      </x:c>
      <x:c r="C345" s="60" t="n">
        <x:v>5.871718085366097</x:v>
      </x:c>
      <x:c r="D345" s="60" t="n">
        <x:v>5.052090790254767</x:v>
      </x:c>
      <x:c r="E345" s="60" t="n">
        <x:v>3.2122256040343076</x:v>
      </x:c>
      <x:c r="F345" s="60" t="n">
        <x:v>6.362066036114404</x:v>
      </x:c>
      <x:c r="G345" s="60" t="n">
        <x:v>5.880000000000001</x:v>
      </x:c>
      <x:c r="H345" s="57" t="str">
        <x:v>modeled_latent_ensemble</x:v>
      </x:c>
    </x:row>
    <x:row r="346" ht="15" hidden="0" customHeight="1">
      <x:c r="A346" s="59" t="n">
        <x:v>341</x:v>
      </x:c>
      <x:c r="B346" s="59" t="n">
        <x:v>8.733812511131706</x:v>
      </x:c>
      <x:c r="C346" s="59" t="n">
        <x:v>5.918469551584079</x:v>
      </x:c>
      <x:c r="D346" s="59" t="n">
        <x:v>4.986701224502482</x:v>
      </x:c>
      <x:c r="E346" s="59" t="n">
        <x:v>3.3244119851136755</x:v>
      </x:c>
      <x:c r="F346" s="59" t="n">
        <x:v>6.436604727668057</x:v>
      </x:c>
      <x:c r="G346" s="59" t="n">
        <x:v>5.880000000000001</x:v>
      </x:c>
      <x:c r="H346" s="58" t="str">
        <x:v>modeled_latent_ensemble</x:v>
      </x:c>
    </x:row>
    <x:row r="347" ht="15" hidden="0" customHeight="1">
      <x:c r="A347" s="60" t="n">
        <x:v>342</x:v>
      </x:c>
      <x:c r="B347" s="60" t="n">
        <x:v>8.83109755924166</x:v>
      </x:c>
      <x:c r="C347" s="60" t="n">
        <x:v>5.958681572310717</x:v>
      </x:c>
      <x:c r="D347" s="60" t="n">
        <x:v>4.858088795973238</x:v>
      </x:c>
      <x:c r="E347" s="60" t="n">
        <x:v>3.253434155541776</x:v>
      </x:c>
      <x:c r="F347" s="60" t="n">
        <x:v>6.498697916932611</x:v>
      </x:c>
      <x:c r="G347" s="60" t="n">
        <x:v>5.880000000000001</x:v>
      </x:c>
      <x:c r="H347" s="57" t="str">
        <x:v>modeled_latent_ensemble</x:v>
      </x:c>
    </x:row>
    <x:row r="348" ht="15" hidden="0" customHeight="1">
      <x:c r="A348" s="59" t="n">
        <x:v>343</x:v>
      </x:c>
      <x:c r="B348" s="59" t="n">
        <x:v>8.819102100034538</x:v>
      </x:c>
      <x:c r="C348" s="59" t="n">
        <x:v>6.030857648849626</x:v>
      </x:c>
      <x:c r="D348" s="59" t="n">
        <x:v>4.9512522402693975</x:v>
      </x:c>
      <x:c r="E348" s="59" t="n">
        <x:v>3.279690120021068</x:v>
      </x:c>
      <x:c r="F348" s="59" t="n">
        <x:v>6.319097890825373</x:v>
      </x:c>
      <x:c r="G348" s="59" t="n">
        <x:v>5.880000000000001</x:v>
      </x:c>
      <x:c r="H348" s="58" t="str">
        <x:v>modeled_latent_ensemble</x:v>
      </x:c>
    </x:row>
    <x:row r="349" ht="15" hidden="0" customHeight="1">
      <x:c r="A349" s="60" t="n">
        <x:v>344</x:v>
      </x:c>
      <x:c r="B349" s="60" t="n">
        <x:v>8.804390451241286</x:v>
      </x:c>
      <x:c r="C349" s="60" t="n">
        <x:v>6.1000244458863335</x:v>
      </x:c>
      <x:c r="D349" s="60" t="n">
        <x:v>5.154448700702423</x:v>
      </x:c>
      <x:c r="E349" s="60" t="n">
        <x:v>3.0187421638630294</x:v>
      </x:c>
      <x:c r="F349" s="60" t="n">
        <x:v>6.32239423830693</x:v>
      </x:c>
      <x:c r="G349" s="60" t="n">
        <x:v>5.880000000000001</x:v>
      </x:c>
      <x:c r="H349" s="57" t="str">
        <x:v>modeled_latent_ensemble</x:v>
      </x:c>
    </x:row>
    <x:row r="350" ht="15" hidden="0" customHeight="1">
      <x:c r="A350" s="59" t="n">
        <x:v>345</x:v>
      </x:c>
      <x:c r="B350" s="59" t="n">
        <x:v>9.023331301128422</x:v>
      </x:c>
      <x:c r="C350" s="59" t="n">
        <x:v>6.041261675928117</x:v>
      </x:c>
      <x:c r="D350" s="59" t="n">
        <x:v>5.234464799857463</x:v>
      </x:c>
      <x:c r="E350" s="59" t="n">
        <x:v>2.6816461960408073</x:v>
      </x:c>
      <x:c r="F350" s="59" t="n">
        <x:v>6.419296027045192</x:v>
      </x:c>
      <x:c r="G350" s="59" t="n">
        <x:v>5.88</x:v>
      </x:c>
      <x:c r="H350" s="58" t="str">
        <x:v>modeled_latent_ensemble</x:v>
      </x:c>
    </x:row>
    <x:row r="351" ht="15" hidden="0" customHeight="1">
      <x:c r="A351" s="60" t="n">
        <x:v>346</x:v>
      </x:c>
      <x:c r="B351" s="60" t="n">
        <x:v>8.881437790160678</x:v>
      </x:c>
      <x:c r="C351" s="60" t="n">
        <x:v>5.968926655135839</x:v>
      </x:c>
      <x:c r="D351" s="60" t="n">
        <x:v>4.984298443271565</x:v>
      </x:c>
      <x:c r="E351" s="60" t="n">
        <x:v>3.068200834244156</x:v>
      </x:c>
      <x:c r="F351" s="60" t="n">
        <x:v>6.497136277187764</x:v>
      </x:c>
      <x:c r="G351" s="60" t="n">
        <x:v>5.880000000000001</x:v>
      </x:c>
      <x:c r="H351" s="57" t="str">
        <x:v>modeled_latent_ensemble</x:v>
      </x:c>
    </x:row>
    <x:row r="352" ht="15" hidden="0" customHeight="1">
      <x:c r="A352" s="59" t="n">
        <x:v>347</x:v>
      </x:c>
      <x:c r="B352" s="59" t="n">
        <x:v>9.013767501772044</x:v>
      </x:c>
      <x:c r="C352" s="59" t="n">
        <x:v>6.020290184585807</x:v>
      </x:c>
      <x:c r="D352" s="59" t="n">
        <x:v>5.2168820052678155</x:v>
      </x:c>
      <x:c r="E352" s="59" t="n">
        <x:v>2.838910190437477</x:v>
      </x:c>
      <x:c r="F352" s="59" t="n">
        <x:v>6.310150117936857</x:v>
      </x:c>
      <x:c r="G352" s="59" t="n">
        <x:v>5.880000000000001</x:v>
      </x:c>
      <x:c r="H352" s="58" t="str">
        <x:v>modeled_latent_ensemble</x:v>
      </x:c>
    </x:row>
    <x:row r="353" ht="15" hidden="0" customHeight="1">
      <x:c r="A353" s="60" t="n">
        <x:v>348</x:v>
      </x:c>
      <x:c r="B353" s="60" t="n">
        <x:v>8.836532743876134</x:v>
      </x:c>
      <x:c r="C353" s="60" t="n">
        <x:v>5.955745405186391</x:v>
      </x:c>
      <x:c r="D353" s="60" t="n">
        <x:v>4.901865913735887</x:v>
      </x:c>
      <x:c r="E353" s="60" t="n">
        <x:v>3.1549961398699478</x:v>
      </x:c>
      <x:c r="F353" s="60" t="n">
        <x:v>6.550859797331642</x:v>
      </x:c>
      <x:c r="G353" s="60" t="n">
        <x:v>5.88</x:v>
      </x:c>
      <x:c r="H353" s="57" t="str">
        <x:v>modeled_latent_ensemble</x:v>
      </x:c>
    </x:row>
    <x:row r="354" ht="15" hidden="0" customHeight="1">
      <x:c r="A354" s="59" t="n">
        <x:v>349</x:v>
      </x:c>
      <x:c r="B354" s="59" t="n">
        <x:v>9.03437169726949</x:v>
      </x:c>
      <x:c r="C354" s="59" t="n">
        <x:v>5.984704187580823</x:v>
      </x:c>
      <x:c r="D354" s="59" t="n">
        <x:v>5.137428439869155</x:v>
      </x:c>
      <x:c r="E354" s="59" t="n">
        <x:v>2.8420677744935388</x:v>
      </x:c>
      <x:c r="F354" s="59" t="n">
        <x:v>6.401427900786994</x:v>
      </x:c>
      <x:c r="G354" s="59" t="n">
        <x:v>5.880000000000001</x:v>
      </x:c>
      <x:c r="H354" s="58" t="str">
        <x:v>modeled_latent_ensemble</x:v>
      </x:c>
    </x:row>
    <x:row r="355" ht="15" hidden="0" customHeight="1">
      <x:c r="A355" s="60" t="n">
        <x:v>350</x:v>
      </x:c>
      <x:c r="B355" s="60" t="n">
        <x:v>8.907873125764683</x:v>
      </x:c>
      <x:c r="C355" s="60" t="n">
        <x:v>6.0146033947189075</x:v>
      </x:c>
      <x:c r="D355" s="60" t="n">
        <x:v>5.055588463292871</x:v>
      </x:c>
      <x:c r="E355" s="60" t="n">
        <x:v>3.0538709272817948</x:v>
      </x:c>
      <x:c r="F355" s="60" t="n">
        <x:v>6.368064088941744</x:v>
      </x:c>
      <x:c r="G355" s="60" t="n">
        <x:v>5.880000000000001</x:v>
      </x:c>
      <x:c r="H355" s="57" t="str">
        <x:v>modeled_latent_ensemble</x:v>
      </x:c>
    </x:row>
    <x:row r="356" ht="15" hidden="0" customHeight="1">
      <x:c r="A356" s="59" t="n">
        <x:v>351</x:v>
      </x:c>
      <x:c r="B356" s="59" t="n">
        <x:v>8.833193957648001</x:v>
      </x:c>
      <x:c r="C356" s="59" t="n">
        <x:v>6.076276065348289</x:v>
      </x:c>
      <x:c r="D356" s="59" t="n">
        <x:v>5.30070811088109</x:v>
      </x:c>
      <x:c r="E356" s="59" t="n">
        <x:v>2.6358569218748875</x:v>
      </x:c>
      <x:c r="F356" s="59" t="n">
        <x:v>6.553964944247733</x:v>
      </x:c>
      <x:c r="G356" s="59" t="n">
        <x:v>5.88</x:v>
      </x:c>
      <x:c r="H356" s="58" t="str">
        <x:v>modeled_latent_ensemble</x:v>
      </x:c>
    </x:row>
    <x:row r="357" ht="15" hidden="0" customHeight="1">
      <x:c r="A357" s="60" t="n">
        <x:v>352</x:v>
      </x:c>
      <x:c r="B357" s="60" t="n">
        <x:v>8.765675790559081</x:v>
      </x:c>
      <x:c r="C357" s="60" t="n">
        <x:v>6.066127380989998</x:v>
      </x:c>
      <x:c r="D357" s="60" t="n">
        <x:v>5.165069139133074</x:v>
      </x:c>
      <x:c r="E357" s="60" t="n">
        <x:v>2.84619641091955</x:v>
      </x:c>
      <x:c r="F357" s="60" t="n">
        <x:v>6.556931278398299</x:v>
      </x:c>
      <x:c r="G357" s="60" t="n">
        <x:v>5.880000000000001</x:v>
      </x:c>
      <x:c r="H357" s="57" t="str">
        <x:v>modeled_latent_ensemble</x:v>
      </x:c>
    </x:row>
    <x:row r="358" ht="15" hidden="0" customHeight="1">
      <x:c r="A358" s="59" t="n">
        <x:v>353</x:v>
      </x:c>
      <x:c r="B358" s="59" t="n">
        <x:v>9.036441948413325</x:v>
      </x:c>
      <x:c r="C358" s="59" t="n">
        <x:v>6.128968286312992</x:v>
      </x:c>
      <x:c r="D358" s="59" t="n">
        <x:v>5.0041423741503355</x:v>
      </x:c>
      <x:c r="E358" s="59" t="n">
        <x:v>2.772423335310794</x:v>
      </x:c>
      <x:c r="F358" s="59" t="n">
        <x:v>6.458024055812555</x:v>
      </x:c>
      <x:c r="G358" s="59" t="n">
        <x:v>5.88</x:v>
      </x:c>
      <x:c r="H358" s="58" t="str">
        <x:v>modeled_latent_ensemble</x:v>
      </x:c>
    </x:row>
    <x:row r="359" ht="15" hidden="0" customHeight="1">
      <x:c r="A359" s="60" t="n">
        <x:v>354</x:v>
      </x:c>
      <x:c r="B359" s="60" t="n">
        <x:v>8.847286375845325</x:v>
      </x:c>
      <x:c r="C359" s="60" t="n">
        <x:v>6.071680262440177</x:v>
      </x:c>
      <x:c r="D359" s="60" t="n">
        <x:v>5.132388452444981</x:v>
      </x:c>
      <x:c r="E359" s="60" t="n">
        <x:v>2.8028464327503086</x:v>
      </x:c>
      <x:c r="F359" s="60" t="n">
        <x:v>6.54579847651921</x:v>
      </x:c>
      <x:c r="G359" s="60" t="n">
        <x:v>5.88</x:v>
      </x:c>
      <x:c r="H359" s="57" t="str">
        <x:v>modeled_latent_ensemble</x:v>
      </x:c>
    </x:row>
    <x:row r="360" ht="15" hidden="0" customHeight="1">
      <x:c r="A360" s="59" t="n">
        <x:v>355</x:v>
      </x:c>
      <x:c r="B360" s="59" t="n">
        <x:v>8.82808630491431</x:v>
      </x:c>
      <x:c r="C360" s="59" t="n">
        <x:v>6.138442990408455</x:v>
      </x:c>
      <x:c r="D360" s="59" t="n">
        <x:v>5.008222101687066</x:v>
      </x:c>
      <x:c r="E360" s="59" t="n">
        <x:v>3.0597410562980283</x:v>
      </x:c>
      <x:c r="F360" s="59" t="n">
        <x:v>6.365507546692141</x:v>
      </x:c>
      <x:c r="G360" s="59" t="n">
        <x:v>5.880000000000001</x:v>
      </x:c>
      <x:c r="H360" s="58" t="str">
        <x:v>modeled_latent_ensemble</x:v>
      </x:c>
    </x:row>
    <x:row r="361" ht="15" hidden="0" customHeight="1">
      <x:c r="A361" s="60" t="n">
        <x:v>356</x:v>
      </x:c>
      <x:c r="B361" s="60" t="n">
        <x:v>8.932197417633082</x:v>
      </x:c>
      <x:c r="C361" s="60" t="n">
        <x:v>5.987838695748648</x:v>
      </x:c>
      <x:c r="D361" s="60" t="n">
        <x:v>5.001695681351521</x:v>
      </x:c>
      <x:c r="E361" s="60" t="n">
        <x:v>3.099548960167373</x:v>
      </x:c>
      <x:c r="F361" s="60" t="n">
        <x:v>6.378719245099377</x:v>
      </x:c>
      <x:c r="G361" s="60" t="n">
        <x:v>5.88</x:v>
      </x:c>
      <x:c r="H361" s="57" t="str">
        <x:v>modeled_latent_ensemble</x:v>
      </x:c>
    </x:row>
    <x:row r="362" ht="15" hidden="0" customHeight="1">
      <x:c r="A362" s="59" t="n">
        <x:v>357</x:v>
      </x:c>
      <x:c r="B362" s="59" t="n">
        <x:v>8.86395776870356</x:v>
      </x:c>
      <x:c r="C362" s="59" t="n">
        <x:v>6.03450268380636</x:v>
      </x:c>
      <x:c r="D362" s="59" t="n">
        <x:v>4.875686394196061</x:v>
      </x:c>
      <x:c r="E362" s="59" t="n">
        <x:v>3.136245085141946</x:v>
      </x:c>
      <x:c r="F362" s="59" t="n">
        <x:v>6.489608068152075</x:v>
      </x:c>
      <x:c r="G362" s="59" t="n">
        <x:v>5.880000000000001</x:v>
      </x:c>
      <x:c r="H362" s="58" t="str">
        <x:v>modeled_latent_ensemble</x:v>
      </x:c>
    </x:row>
    <x:row r="363" ht="15" hidden="0" customHeight="1">
      <x:c r="A363" s="60" t="n">
        <x:v>358</x:v>
      </x:c>
      <x:c r="B363" s="60" t="n">
        <x:v>8.925068532839667</x:v>
      </x:c>
      <x:c r="C363" s="60" t="n">
        <x:v>5.944350228644415</x:v>
      </x:c>
      <x:c r="D363" s="60" t="n">
        <x:v>4.975142223257259</x:v>
      </x:c>
      <x:c r="E363" s="60" t="n">
        <x:v>3.0555353713297877</x:v>
      </x:c>
      <x:c r="F363" s="60" t="n">
        <x:v>6.499903643928872</x:v>
      </x:c>
      <x:c r="G363" s="60" t="n">
        <x:v>5.880000000000001</x:v>
      </x:c>
      <x:c r="H363" s="57" t="str">
        <x:v>modeled_latent_ensemble</x:v>
      </x:c>
    </x:row>
    <x:row r="364" ht="15" hidden="0" customHeight="1">
      <x:c r="A364" s="59" t="n">
        <x:v>359</x:v>
      </x:c>
      <x:c r="B364" s="59" t="n">
        <x:v>8.821390494942822</x:v>
      </x:c>
      <x:c r="C364" s="59" t="n">
        <x:v>6.054464489840514</x:v>
      </x:c>
      <x:c r="D364" s="59" t="n">
        <x:v>5.1635693719003175</x:v>
      </x:c>
      <x:c r="E364" s="59" t="n">
        <x:v>2.812150211198001</x:v>
      </x:c>
      <x:c r="F364" s="59" t="n">
        <x:v>6.548425432118347</x:v>
      </x:c>
      <x:c r="G364" s="59" t="n">
        <x:v>5.880000000000001</x:v>
      </x:c>
      <x:c r="H364" s="58" t="str">
        <x:v>modeled_latent_ensemble</x:v>
      </x:c>
    </x:row>
    <x:row r="365" ht="15" hidden="0" customHeight="1">
      <x:c r="A365" s="60" t="n">
        <x:v>360</x:v>
      </x:c>
      <x:c r="B365" s="60" t="n">
        <x:v>8.915221743196723</x:v>
      </x:c>
      <x:c r="C365" s="60" t="n">
        <x:v>6.028261132854195</x:v>
      </x:c>
      <x:c r="D365" s="60" t="n">
        <x:v>5.002435954918425</x:v>
      </x:c>
      <x:c r="E365" s="60" t="n">
        <x:v>3.139376291941028</x:v>
      </x:c>
      <x:c r="F365" s="60" t="n">
        <x:v>6.314704877089631</x:v>
      </x:c>
      <x:c r="G365" s="60" t="n">
        <x:v>5.880000000000001</x:v>
      </x:c>
      <x:c r="H365" s="57" t="str">
        <x:v>modeled_latent_ensemble</x:v>
      </x:c>
    </x:row>
    <x:row r="366" ht="15" hidden="0" customHeight="1">
      <x:c r="A366" s="59" t="n">
        <x:v>361</x:v>
      </x:c>
      <x:c r="B366" s="59" t="n">
        <x:v>8.914085837471594</x:v>
      </x:c>
      <x:c r="C366" s="59" t="n">
        <x:v>6.084555308476014</x:v>
      </x:c>
      <x:c r="D366" s="59" t="n">
        <x:v>5.061075003285611</x:v>
      </x:c>
      <x:c r="E366" s="59" t="n">
        <x:v>3.0284873606093288</x:v>
      </x:c>
      <x:c r="F366" s="59" t="n">
        <x:v>6.3117964901574535</x:v>
      </x:c>
      <x:c r="G366" s="59" t="n">
        <x:v>5.88</x:v>
      </x:c>
      <x:c r="H366" s="58" t="str">
        <x:v>modeled_latent_ensemble</x:v>
      </x:c>
    </x:row>
    <x:row r="367" ht="15" hidden="0" customHeight="1">
      <x:c r="A367" s="60" t="n">
        <x:v>362</x:v>
      </x:c>
      <x:c r="B367" s="60" t="n">
        <x:v>8.890284907000945</x:v>
      </x:c>
      <x:c r="C367" s="60" t="n">
        <x:v>6.127262385625552</x:v>
      </x:c>
      <x:c r="D367" s="60" t="n">
        <x:v>5.158717808895036</x:v>
      </x:c>
      <x:c r="E367" s="60" t="n">
        <x:v>2.841685784477224</x:v>
      </x:c>
      <x:c r="F367" s="60" t="n">
        <x:v>6.382049114001243</x:v>
      </x:c>
      <x:c r="G367" s="60" t="n">
        <x:v>5.88</x:v>
      </x:c>
      <x:c r="H367" s="57" t="str">
        <x:v>modeled_latent_ensemble</x:v>
      </x:c>
    </x:row>
    <x:row r="368" ht="15" hidden="0" customHeight="1">
      <x:c r="A368" s="59" t="n">
        <x:v>363</x:v>
      </x:c>
      <x:c r="B368" s="59" t="n">
        <x:v>8.960362651459446</x:v>
      </x:c>
      <x:c r="C368" s="59" t="n">
        <x:v>6.0662939714916035</x:v>
      </x:c>
      <x:c r="D368" s="59" t="n">
        <x:v>4.922950880951045</x:v>
      </x:c>
      <x:c r="E368" s="59" t="n">
        <x:v>2.75597177230976</x:v>
      </x:c>
      <x:c r="F368" s="59" t="n">
        <x:v>6.694420723788146</x:v>
      </x:c>
      <x:c r="G368" s="59" t="n">
        <x:v>5.88</x:v>
      </x:c>
      <x:c r="H368" s="58" t="str">
        <x:v>modeled_latent_ensemble</x:v>
      </x:c>
    </x:row>
    <x:row r="369" ht="15" hidden="0" customHeight="1">
      <x:c r="A369" s="60" t="n">
        <x:v>364</x:v>
      </x:c>
      <x:c r="B369" s="60" t="n">
        <x:v>8.752228879674934</x:v>
      </x:c>
      <x:c r="C369" s="60" t="n">
        <x:v>6.018771952876575</x:v>
      </x:c>
      <x:c r="D369" s="60" t="n">
        <x:v>4.968230305868015</x:v>
      </x:c>
      <x:c r="E369" s="60" t="n">
        <x:v>3.4153052053492625</x:v>
      </x:c>
      <x:c r="F369" s="60" t="n">
        <x:v>6.245463656231214</x:v>
      </x:c>
      <x:c r="G369" s="60" t="n">
        <x:v>5.88</x:v>
      </x:c>
      <x:c r="H369" s="57" t="str">
        <x:v>modeled_latent_ensemble</x:v>
      </x:c>
    </x:row>
    <x:row r="370" ht="15" hidden="0" customHeight="1">
      <x:c r="A370" s="59" t="n">
        <x:v>365</x:v>
      </x:c>
      <x:c r="B370" s="59" t="n">
        <x:v>8.943571193200144</x:v>
      </x:c>
      <x:c r="C370" s="59" t="n">
        <x:v>6.000220612799746</x:v>
      </x:c>
      <x:c r="D370" s="59" t="n">
        <x:v>4.806344686713355</x:v>
      </x:c>
      <x:c r="E370" s="59" t="n">
        <x:v>3.3108006367994505</x:v>
      </x:c>
      <x:c r="F370" s="59" t="n">
        <x:v>6.339062870487307</x:v>
      </x:c>
      <x:c r="G370" s="59" t="n">
        <x:v>5.880000000000001</x:v>
      </x:c>
      <x:c r="H370" s="58" t="str">
        <x:v>modeled_latent_ensemble</x:v>
      </x:c>
    </x:row>
    <x:row r="371" ht="15" hidden="0" customHeight="1">
      <x:c r="A371" s="60" t="n">
        <x:v>366</x:v>
      </x:c>
      <x:c r="B371" s="60" t="n">
        <x:v>8.990888576188262</x:v>
      </x:c>
      <x:c r="C371" s="60" t="n">
        <x:v>6.15821468954298</x:v>
      </x:c>
      <x:c r="D371" s="60" t="n">
        <x:v>5.12204453721861</x:v>
      </x:c>
      <x:c r="E371" s="60" t="n">
        <x:v>2.52377614277487</x:v>
      </x:c>
      <x:c r="F371" s="60" t="n">
        <x:v>6.60507605427528</x:v>
      </x:c>
      <x:c r="G371" s="60" t="n">
        <x:v>5.880000000000001</x:v>
      </x:c>
      <x:c r="H371" s="57" t="str">
        <x:v>modeled_latent_ensemble</x:v>
      </x:c>
    </x:row>
    <x:row r="372" ht="15" hidden="0" customHeight="1">
      <x:c r="A372" s="59" t="n">
        <x:v>367</x:v>
      </x:c>
      <x:c r="B372" s="59" t="n">
        <x:v>8.949082555078924</x:v>
      </x:c>
      <x:c r="C372" s="59" t="n">
        <x:v>5.986071007087623</x:v>
      </x:c>
      <x:c r="D372" s="59" t="n">
        <x:v>4.955194356657589</x:v>
      </x:c>
      <x:c r="E372" s="59" t="n">
        <x:v>3.0878906335264396</x:v>
      </x:c>
      <x:c r="F372" s="59" t="n">
        <x:v>6.421761447649426</x:v>
      </x:c>
      <x:c r="G372" s="59" t="n">
        <x:v>5.880000000000001</x:v>
      </x:c>
      <x:c r="H372" s="58" t="str">
        <x:v>modeled_latent_ensemble</x:v>
      </x:c>
    </x:row>
    <x:row r="373" ht="15" hidden="0" customHeight="1">
      <x:c r="A373" s="60" t="n">
        <x:v>368</x:v>
      </x:c>
      <x:c r="B373" s="60" t="n">
        <x:v>8.74120528462476</x:v>
      </x:c>
      <x:c r="C373" s="60" t="n">
        <x:v>6.035478777898819</x:v>
      </x:c>
      <x:c r="D373" s="60" t="n">
        <x:v>5.161421970756942</x:v>
      </x:c>
      <x:c r="E373" s="60" t="n">
        <x:v>3.1722257123173434</x:v>
      </x:c>
      <x:c r="F373" s="60" t="n">
        <x:v>6.289668254402137</x:v>
      </x:c>
      <x:c r="G373" s="60" t="n">
        <x:v>5.88</x:v>
      </x:c>
      <x:c r="H373" s="57" t="str">
        <x:v>modeled_latent_ensemble</x:v>
      </x:c>
    </x:row>
    <x:row r="374" ht="15" hidden="0" customHeight="1">
      <x:c r="A374" s="59" t="n">
        <x:v>369</x:v>
      </x:c>
      <x:c r="B374" s="59" t="n">
        <x:v>8.887698646582646</x:v>
      </x:c>
      <x:c r="C374" s="59" t="n">
        <x:v>6.169248494619907</x:v>
      </x:c>
      <x:c r="D374" s="59" t="n">
        <x:v>5.125050260501654</x:v>
      </x:c>
      <x:c r="E374" s="59" t="n">
        <x:v>2.806320150758233</x:v>
      </x:c>
      <x:c r="F374" s="59" t="n">
        <x:v>6.4116824475375624</x:v>
      </x:c>
      <x:c r="G374" s="59" t="n">
        <x:v>5.880000000000001</x:v>
      </x:c>
      <x:c r="H374" s="58" t="str">
        <x:v>modeled_latent_ensemble</x:v>
      </x:c>
    </x:row>
    <x:row r="375" ht="15" hidden="0" customHeight="1">
      <x:c r="A375" s="60" t="n">
        <x:v>370</x:v>
      </x:c>
      <x:c r="B375" s="60" t="n">
        <x:v>8.939049059953474</x:v>
      </x:c>
      <x:c r="C375" s="60" t="n">
        <x:v>5.957755344890173</x:v>
      </x:c>
      <x:c r="D375" s="60" t="n">
        <x:v>5.086970182608546</x:v>
      </x:c>
      <x:c r="E375" s="60" t="n">
        <x:v>3.2046730190074233</x:v>
      </x:c>
      <x:c r="F375" s="60" t="n">
        <x:v>6.211552393540385</x:v>
      </x:c>
      <x:c r="G375" s="60" t="n">
        <x:v>5.88</x:v>
      </x:c>
      <x:c r="H375" s="57" t="str">
        <x:v>modeled_latent_ensemble</x:v>
      </x:c>
    </x:row>
    <x:row r="376" ht="15" hidden="0" customHeight="1">
      <x:c r="A376" s="59" t="n">
        <x:v>371</x:v>
      </x:c>
      <x:c r="B376" s="59" t="n">
        <x:v>9.039171558071304</x:v>
      </x:c>
      <x:c r="C376" s="59" t="n">
        <x:v>6.18918368683234</x:v>
      </x:c>
      <x:c r="D376" s="59" t="n">
        <x:v>4.989301379587334</x:v>
      </x:c>
      <x:c r="E376" s="59" t="n">
        <x:v>2.763423079450161</x:v>
      </x:c>
      <x:c r="F376" s="59" t="n">
        <x:v>6.418920296058862</x:v>
      </x:c>
      <x:c r="G376" s="59" t="n">
        <x:v>5.88</x:v>
      </x:c>
      <x:c r="H376" s="58" t="str">
        <x:v>modeled_latent_ensemble</x:v>
      </x:c>
    </x:row>
    <x:row r="377" ht="15" hidden="0" customHeight="1">
      <x:c r="A377" s="60" t="n">
        <x:v>372</x:v>
      </x:c>
      <x:c r="B377" s="60" t="n">
        <x:v>8.806665227173015</x:v>
      </x:c>
      <x:c r="C377" s="60" t="n">
        <x:v>5.935299479691965</x:v>
      </x:c>
      <x:c r="D377" s="60" t="n">
        <x:v>4.876922013856959</x:v>
      </x:c>
      <x:c r="E377" s="60" t="n">
        <x:v>3.51899492226021</x:v>
      </x:c>
      <x:c r="F377" s="60" t="n">
        <x:v>6.262118357017852</x:v>
      </x:c>
      <x:c r="G377" s="60" t="n">
        <x:v>5.88</x:v>
      </x:c>
      <x:c r="H377" s="57" t="str">
        <x:v>modeled_latent_ensemble</x:v>
      </x:c>
    </x:row>
    <x:row r="378" ht="15" hidden="0" customHeight="1">
      <x:c r="A378" s="59" t="n">
        <x:v>373</x:v>
      </x:c>
      <x:c r="B378" s="59" t="n">
        <x:v>8.793239160072638</x:v>
      </x:c>
      <x:c r="C378" s="59" t="n">
        <x:v>6.155739679100714</x:v>
      </x:c>
      <x:c r="D378" s="59" t="n">
        <x:v>5.0455607904398025</x:v>
      </x:c>
      <x:c r="E378" s="59" t="n">
        <x:v>3.0867649026291333</x:v>
      </x:c>
      <x:c r="F378" s="59" t="n">
        <x:v>6.3186954677577125</x:v>
      </x:c>
      <x:c r="G378" s="59" t="n">
        <x:v>5.880000000000001</x:v>
      </x:c>
      <x:c r="H378" s="58" t="str">
        <x:v>modeled_latent_ensemble</x:v>
      </x:c>
    </x:row>
    <x:row r="379" ht="15" hidden="0" customHeight="1">
      <x:c r="A379" s="60" t="n">
        <x:v>374</x:v>
      </x:c>
      <x:c r="B379" s="60" t="n">
        <x:v>8.92366148057135</x:v>
      </x:c>
      <x:c r="C379" s="60" t="n">
        <x:v>6.133476267093121</x:v>
      </x:c>
      <x:c r="D379" s="60" t="n">
        <x:v>5.1386971307487626</x:v>
      </x:c>
      <x:c r="E379" s="60" t="n">
        <x:v>2.638314605068388</x:v>
      </x:c>
      <x:c r="F379" s="60" t="n">
        <x:v>6.5658505165183785</x:v>
      </x:c>
      <x:c r="G379" s="60" t="n">
        <x:v>5.88</x:v>
      </x:c>
      <x:c r="H379" s="57" t="str">
        <x:v>modeled_latent_ensemble</x:v>
      </x:c>
    </x:row>
    <x:row r="380" ht="15" hidden="0" customHeight="1">
      <x:c r="A380" s="59" t="n">
        <x:v>375</x:v>
      </x:c>
      <x:c r="B380" s="59" t="n">
        <x:v>8.758939250387735</x:v>
      </x:c>
      <x:c r="C380" s="59" t="n">
        <x:v>5.8855374518758286</x:v>
      </x:c>
      <x:c r="D380" s="59" t="n">
        <x:v>5.099815719775303</x:v>
      </x:c>
      <x:c r="E380" s="59" t="n">
        <x:v>3.208454878842873</x:v>
      </x:c>
      <x:c r="F380" s="59" t="n">
        <x:v>6.447252699118263</x:v>
      </x:c>
      <x:c r="G380" s="59" t="n">
        <x:v>5.880000000000001</x:v>
      </x:c>
      <x:c r="H380" s="58" t="str">
        <x:v>modeled_latent_ensemble</x:v>
      </x:c>
    </x:row>
    <x:row r="381" ht="15" hidden="0" customHeight="1">
      <x:c r="A381" s="60" t="n">
        <x:v>376</x:v>
      </x:c>
      <x:c r="B381" s="60" t="n">
        <x:v>8.770743915924736</x:v>
      </x:c>
      <x:c r="C381" s="60" t="n">
        <x:v>5.949272340325201</x:v>
      </x:c>
      <x:c r="D381" s="60" t="n">
        <x:v>4.818362154741987</x:v>
      </x:c>
      <x:c r="E381" s="60" t="n">
        <x:v>3.3338008247641335</x:v>
      </x:c>
      <x:c r="F381" s="60" t="n">
        <x:v>6.527820764243945</x:v>
      </x:c>
      <x:c r="G381" s="60" t="n">
        <x:v>5.880000000000001</x:v>
      </x:c>
      <x:c r="H381" s="57" t="str">
        <x:v>modeled_latent_ensemble</x:v>
      </x:c>
    </x:row>
    <x:row r="382" ht="15" hidden="0" customHeight="1">
      <x:c r="A382" s="59" t="n">
        <x:v>377</x:v>
      </x:c>
      <x:c r="B382" s="59" t="n">
        <x:v>8.797160296143396</x:v>
      </x:c>
      <x:c r="C382" s="59" t="n">
        <x:v>6.09433505822375</x:v>
      </x:c>
      <x:c r="D382" s="59" t="n">
        <x:v>5.131097605121505</x:v>
      </x:c>
      <x:c r="E382" s="59" t="n">
        <x:v>3.0153299835444978</x:v>
      </x:c>
      <x:c r="F382" s="59" t="n">
        <x:v>6.362077056966852</x:v>
      </x:c>
      <x:c r="G382" s="59" t="n">
        <x:v>5.88</x:v>
      </x:c>
      <x:c r="H382" s="58" t="str">
        <x:v>modeled_latent_ensemble</x:v>
      </x:c>
    </x:row>
    <x:row r="383" ht="15" hidden="0" customHeight="1">
      <x:c r="A383" s="60" t="n">
        <x:v>378</x:v>
      </x:c>
      <x:c r="B383" s="60" t="n">
        <x:v>8.975699795588154</x:v>
      </x:c>
      <x:c r="C383" s="60" t="n">
        <x:v>6.0968567066165145</x:v>
      </x:c>
      <x:c r="D383" s="60" t="n">
        <x:v>5.080494754918313</x:v>
      </x:c>
      <x:c r="E383" s="60" t="n">
        <x:v>2.899111370034874</x:v>
      </x:c>
      <x:c r="F383" s="60" t="n">
        <x:v>6.347837372842145</x:v>
      </x:c>
      <x:c r="G383" s="60" t="n">
        <x:v>5.88</x:v>
      </x:c>
      <x:c r="H383" s="57" t="str">
        <x:v>modeled_latent_ensemble</x:v>
      </x:c>
    </x:row>
    <x:row r="384" ht="15" hidden="0" customHeight="1">
      <x:c r="A384" s="59" t="n">
        <x:v>379</x:v>
      </x:c>
      <x:c r="B384" s="59" t="n">
        <x:v>8.841977136380054</x:v>
      </x:c>
      <x:c r="C384" s="59" t="n">
        <x:v>5.9487185562594735</x:v>
      </x:c>
      <x:c r="D384" s="59" t="n">
        <x:v>5.0022403662311055</x:v>
      </x:c>
      <x:c r="E384" s="59" t="n">
        <x:v>3.4183913582809957</x:v>
      </x:c>
      <x:c r="F384" s="59" t="n">
        <x:v>6.1886725828483735</x:v>
      </x:c>
      <x:c r="G384" s="59" t="n">
        <x:v>5.880000000000001</x:v>
      </x:c>
      <x:c r="H384" s="58" t="str">
        <x:v>modeled_latent_ensemble</x:v>
      </x:c>
    </x:row>
    <x:row r="385" ht="15" hidden="0" customHeight="1">
      <x:c r="A385" s="60" t="n">
        <x:v>380</x:v>
      </x:c>
      <x:c r="B385" s="60" t="n">
        <x:v>8.832191696049106</x:v>
      </x:c>
      <x:c r="C385" s="60" t="n">
        <x:v>5.957114307587643</x:v>
      </x:c>
      <x:c r="D385" s="60" t="n">
        <x:v>4.94226036282394</x:v>
      </x:c>
      <x:c r="E385" s="60" t="n">
        <x:v>3.5256892072055384</x:v>
      </x:c>
      <x:c r="F385" s="60" t="n">
        <x:v>6.142744426333774</x:v>
      </x:c>
      <x:c r="G385" s="60" t="n">
        <x:v>5.880000000000001</x:v>
      </x:c>
      <x:c r="H385" s="57" t="str">
        <x:v>modeled_latent_ensemble</x:v>
      </x:c>
    </x:row>
    <x:row r="386" ht="15" hidden="0" customHeight="1">
      <x:c r="A386" s="59" t="n">
        <x:v>381</x:v>
      </x:c>
      <x:c r="B386" s="59" t="n">
        <x:v>9.002092864550425</x:v>
      </x:c>
      <x:c r="C386" s="59" t="n">
        <x:v>6.0324903069147755</x:v>
      </x:c>
      <x:c r="D386" s="59" t="n">
        <x:v>5.043179219452443</x:v>
      </x:c>
      <x:c r="E386" s="59" t="n">
        <x:v>2.741121193642243</x:v>
      </x:c>
      <x:c r="F386" s="59" t="n">
        <x:v>6.581116415440115</x:v>
      </x:c>
      <x:c r="G386" s="59" t="n">
        <x:v>5.880000000000001</x:v>
      </x:c>
      <x:c r="H386" s="58" t="str">
        <x:v>modeled_latent_ensemble</x:v>
      </x:c>
    </x:row>
    <x:row r="387" ht="15" hidden="0" customHeight="1">
      <x:c r="A387" s="60" t="n">
        <x:v>382</x:v>
      </x:c>
      <x:c r="B387" s="60" t="n">
        <x:v>8.833743455165305</x:v>
      </x:c>
      <x:c r="C387" s="60" t="n">
        <x:v>5.974066829543103</x:v>
      </x:c>
      <x:c r="D387" s="60" t="n">
        <x:v>4.866537644156316</x:v>
      </x:c>
      <x:c r="E387" s="60" t="n">
        <x:v>3.293042452994048</x:v>
      </x:c>
      <x:c r="F387" s="60" t="n">
        <x:v>6.432609618141229</x:v>
      </x:c>
      <x:c r="G387" s="60" t="n">
        <x:v>5.88</x:v>
      </x:c>
      <x:c r="H387" s="57" t="str">
        <x:v>modeled_latent_ensemble</x:v>
      </x:c>
    </x:row>
    <x:row r="388" ht="15" hidden="0" customHeight="1">
      <x:c r="A388" s="59" t="n">
        <x:v>383</x:v>
      </x:c>
      <x:c r="B388" s="59" t="n">
        <x:v>8.875827745186864</x:v>
      </x:c>
      <x:c r="C388" s="59" t="n">
        <x:v>6.06732476049374</x:v>
      </x:c>
      <x:c r="D388" s="59" t="n">
        <x:v>5.199277687444588</x:v>
      </x:c>
      <x:c r="E388" s="59" t="n">
        <x:v>2.843468525879739</x:v>
      </x:c>
      <x:c r="F388" s="59" t="n">
        <x:v>6.41410128099507</x:v>
      </x:c>
      <x:c r="G388" s="59" t="n">
        <x:v>5.880000000000001</x:v>
      </x:c>
      <x:c r="H388" s="58" t="str">
        <x:v>modeled_latent_ensemble</x:v>
      </x:c>
    </x:row>
    <x:row r="389" ht="15" hidden="0" customHeight="1">
      <x:c r="A389" s="60" t="n">
        <x:v>384</x:v>
      </x:c>
      <x:c r="B389" s="60" t="n">
        <x:v>9.01975891669438</x:v>
      </x:c>
      <x:c r="C389" s="60" t="n">
        <x:v>6.19653157992706</x:v>
      </x:c>
      <x:c r="D389" s="60" t="n">
        <x:v>5.171952743187752</x:v>
      </x:c>
      <x:c r="E389" s="60" t="n">
        <x:v>2.539570081858488</x:v>
      </x:c>
      <x:c r="F389" s="60" t="n">
        <x:v>6.472186678332322</x:v>
      </x:c>
      <x:c r="G389" s="60" t="n">
        <x:v>5.880000000000001</x:v>
      </x:c>
      <x:c r="H389" s="57" t="str">
        <x:v>modeled_latent_ensemble</x:v>
      </x:c>
    </x:row>
    <x:row r="390" ht="15" hidden="0" customHeight="1">
      <x:c r="A390" s="59" t="n">
        <x:v>385</x:v>
      </x:c>
      <x:c r="B390" s="59" t="n">
        <x:v>8.92042531979869</x:v>
      </x:c>
      <x:c r="C390" s="59" t="n">
        <x:v>6.192913795384315</x:v>
      </x:c>
      <x:c r="D390" s="59" t="n">
        <x:v>5.242773599763086</x:v>
      </x:c>
      <x:c r="E390" s="59" t="n">
        <x:v>2.6343880946942377</x:v>
      </x:c>
      <x:c r="F390" s="59" t="n">
        <x:v>6.409499190359671</x:v>
      </x:c>
      <x:c r="G390" s="59" t="n">
        <x:v>5.880000000000001</x:v>
      </x:c>
      <x:c r="H390" s="58" t="str">
        <x:v>modeled_latent_ensemble</x:v>
      </x:c>
    </x:row>
    <x:row r="391" ht="15" hidden="0" customHeight="1">
      <x:c r="A391" s="60" t="n">
        <x:v>386</x:v>
      </x:c>
      <x:c r="B391" s="60" t="n">
        <x:v>8.95561986529608</x:v>
      </x:c>
      <x:c r="C391" s="60" t="n">
        <x:v>5.907211578751773</x:v>
      </x:c>
      <x:c r="D391" s="60" t="n">
        <x:v>5.209747908522212</x:v>
      </x:c>
      <x:c r="E391" s="60" t="n">
        <x:v>2.8183023901328315</x:v>
      </x:c>
      <x:c r="F391" s="60" t="n">
        <x:v>6.509118257297104</x:v>
      </x:c>
      <x:c r="G391" s="60" t="n">
        <x:v>5.880000000000001</x:v>
      </x:c>
      <x:c r="H391" s="57" t="str">
        <x:v>modeled_latent_ensemble</x:v>
      </x:c>
    </x:row>
    <x:row r="392" ht="15" hidden="0" customHeight="1">
      <x:c r="A392" s="59" t="n">
        <x:v>387</x:v>
      </x:c>
      <x:c r="B392" s="59" t="n">
        <x:v>8.82672615112515</x:v>
      </x:c>
      <x:c r="C392" s="59" t="n">
        <x:v>6.007116883605381</x:v>
      </x:c>
      <x:c r="D392" s="59" t="n">
        <x:v>5.081025232269993</x:v>
      </x:c>
      <x:c r="E392" s="59" t="n">
        <x:v>3.0329492712064865</x:v>
      </x:c>
      <x:c r="F392" s="59" t="n">
        <x:v>6.45218246179299</x:v>
      </x:c>
      <x:c r="G392" s="59" t="n">
        <x:v>5.880000000000001</x:v>
      </x:c>
      <x:c r="H392" s="58" t="str">
        <x:v>modeled_latent_ensemble</x:v>
      </x:c>
    </x:row>
    <x:row r="393" ht="15" hidden="0" customHeight="1">
      <x:c r="A393" s="60" t="n">
        <x:v>388</x:v>
      </x:c>
      <x:c r="B393" s="60" t="n">
        <x:v>8.877425496381171</x:v>
      </x:c>
      <x:c r="C393" s="60" t="n">
        <x:v>6.025460666138605</x:v>
      </x:c>
      <x:c r="D393" s="60" t="n">
        <x:v>5.097102211842711</x:v>
      </x:c>
      <x:c r="E393" s="60" t="n">
        <x:v>2.9965236092156444</x:v>
      </x:c>
      <x:c r="F393" s="60" t="n">
        <x:v>6.40348801642187</x:v>
      </x:c>
      <x:c r="G393" s="60" t="n">
        <x:v>5.880000000000001</x:v>
      </x:c>
      <x:c r="H393" s="57" t="str">
        <x:v>modeled_latent_ensemble</x:v>
      </x:c>
    </x:row>
    <x:row r="394" ht="15" hidden="0" customHeight="1">
      <x:c r="A394" s="59" t="n">
        <x:v>389</x:v>
      </x:c>
      <x:c r="B394" s="59" t="n">
        <x:v>8.911521367536139</x:v>
      </x:c>
      <x:c r="C394" s="59" t="n">
        <x:v>6.0499708844318105</x:v>
      </x:c>
      <x:c r="D394" s="59" t="n">
        <x:v>5.057147500474107</x:v>
      </x:c>
      <x:c r="E394" s="59" t="n">
        <x:v>3.14002490084335</x:v>
      </x:c>
      <x:c r="F394" s="59" t="n">
        <x:v>6.241335346714594</x:v>
      </x:c>
      <x:c r="G394" s="59" t="n">
        <x:v>5.88</x:v>
      </x:c>
      <x:c r="H394" s="58" t="str">
        <x:v>modeled_latent_ensemble</x:v>
      </x:c>
    </x:row>
    <x:row r="395" ht="15" hidden="0" customHeight="1">
      <x:c r="A395" s="60" t="n">
        <x:v>390</x:v>
      </x:c>
      <x:c r="B395" s="60" t="n">
        <x:v>8.720441714040996</x:v>
      </x:c>
      <x:c r="C395" s="60" t="n">
        <x:v>6.066743778369736</x:v>
      </x:c>
      <x:c r="D395" s="60" t="n">
        <x:v>5.04646316228606</x:v>
      </x:c>
      <x:c r="E395" s="60" t="n">
        <x:v>3.061923950912222</x:v>
      </x:c>
      <x:c r="F395" s="60" t="n">
        <x:v>6.504427394390986</x:v>
      </x:c>
      <x:c r="G395" s="60" t="n">
        <x:v>5.88</x:v>
      </x:c>
      <x:c r="H395" s="57" t="str">
        <x:v>modeled_latent_ensemble</x:v>
      </x:c>
    </x:row>
    <x:row r="396" ht="15" hidden="0" customHeight="1">
      <x:c r="A396" s="59" t="n">
        <x:v>391</x:v>
      </x:c>
      <x:c r="B396" s="59" t="n">
        <x:v>8.939554456404315</x:v>
      </x:c>
      <x:c r="C396" s="59" t="n">
        <x:v>6.1564029419304696</x:v>
      </x:c>
      <x:c r="D396" s="59" t="n">
        <x:v>5.181967291039308</x:v>
      </x:c>
      <x:c r="E396" s="59" t="n">
        <x:v>2.734395426066275</x:v>
      </x:c>
      <x:c r="F396" s="59" t="n">
        <x:v>6.387679884559634</x:v>
      </x:c>
      <x:c r="G396" s="59" t="n">
        <x:v>5.880000000000001</x:v>
      </x:c>
      <x:c r="H396" s="58" t="str">
        <x:v>modeled_latent_ensemble</x:v>
      </x:c>
    </x:row>
    <x:row r="397" ht="15" hidden="0" customHeight="1">
      <x:c r="A397" s="60" t="n">
        <x:v>392</x:v>
      </x:c>
      <x:c r="B397" s="60" t="n">
        <x:v>8.959656066706096</x:v>
      </x:c>
      <x:c r="C397" s="60" t="n">
        <x:v>6.175924855990405</x:v>
      </x:c>
      <x:c r="D397" s="60" t="n">
        <x:v>5.082539702015378</x:v>
      </x:c>
      <x:c r="E397" s="60" t="n">
        <x:v>2.733124689363272</x:v>
      </x:c>
      <x:c r="F397" s="60" t="n">
        <x:v>6.44875468592485</x:v>
      </x:c>
      <x:c r="G397" s="60" t="n">
        <x:v>5.880000000000001</x:v>
      </x:c>
      <x:c r="H397" s="57" t="str">
        <x:v>modeled_latent_ensemble</x:v>
      </x:c>
    </x:row>
    <x:row r="398" ht="15" hidden="0" customHeight="1">
      <x:c r="A398" s="59" t="n">
        <x:v>393</x:v>
      </x:c>
      <x:c r="B398" s="59" t="n">
        <x:v>8.886884320990736</x:v>
      </x:c>
      <x:c r="C398" s="59" t="n">
        <x:v>6.056298721872058</x:v>
      </x:c>
      <x:c r="D398" s="59" t="n">
        <x:v>5.089766664523502</x:v>
      </x:c>
      <x:c r="E398" s="59" t="n">
        <x:v>3.1042921013040368</x:v>
      </x:c>
      <x:c r="F398" s="59" t="n">
        <x:v>6.2627581913096675</x:v>
      </x:c>
      <x:c r="G398" s="59" t="n">
        <x:v>5.880000000000001</x:v>
      </x:c>
      <x:c r="H398" s="58" t="str">
        <x:v>modeled_latent_ensemble</x:v>
      </x:c>
    </x:row>
    <x:row r="399" ht="15" hidden="0" customHeight="1">
      <x:c r="A399" s="60" t="n">
        <x:v>394</x:v>
      </x:c>
      <x:c r="B399" s="60" t="n">
        <x:v>8.947344372830406</x:v>
      </x:c>
      <x:c r="C399" s="60" t="n">
        <x:v>6.040383137241566</x:v>
      </x:c>
      <x:c r="D399" s="60" t="n">
        <x:v>4.951026138843041</x:v>
      </x:c>
      <x:c r="E399" s="60" t="n">
        <x:v>2.893654151825347</x:v>
      </x:c>
      <x:c r="F399" s="60" t="n">
        <x:v>6.567592199259642</x:v>
      </x:c>
      <x:c r="G399" s="60" t="n">
        <x:v>5.880000000000001</x:v>
      </x:c>
      <x:c r="H399" s="57" t="str">
        <x:v>modeled_latent_ensemble</x:v>
      </x:c>
    </x:row>
    <x:row r="400" ht="15" hidden="0" customHeight="1">
      <x:c r="A400" s="59" t="n">
        <x:v>395</x:v>
      </x:c>
      <x:c r="B400" s="59" t="n">
        <x:v>8.853711207895696</x:v>
      </x:c>
      <x:c r="C400" s="59" t="n">
        <x:v>6.097028450438126</x:v>
      </x:c>
      <x:c r="D400" s="59" t="n">
        <x:v>5.172486463213575</x:v>
      </x:c>
      <x:c r="E400" s="59" t="n">
        <x:v>2.943441941347026</x:v>
      </x:c>
      <x:c r="F400" s="59" t="n">
        <x:v>6.333331937105578</x:v>
      </x:c>
      <x:c r="G400" s="59" t="n">
        <x:v>5.88</x:v>
      </x:c>
      <x:c r="H400" s="58" t="str">
        <x:v>modeled_latent_ensemble</x:v>
      </x:c>
    </x:row>
    <x:row r="401" ht="15" hidden="0" customHeight="1">
      <x:c r="A401" s="60" t="n">
        <x:v>396</x:v>
      </x:c>
      <x:c r="B401" s="60" t="n">
        <x:v>9.024881677680678</x:v>
      </x:c>
      <x:c r="C401" s="60" t="n">
        <x:v>6.059507498069043</x:v>
      </x:c>
      <x:c r="D401" s="60" t="n">
        <x:v>5.121097740700575</x:v>
      </x:c>
      <x:c r="E401" s="60" t="n">
        <x:v>2.847532898040153</x:v>
      </x:c>
      <x:c r="F401" s="60" t="n">
        <x:v>6.346980185509551</x:v>
      </x:c>
      <x:c r="G401" s="60" t="n">
        <x:v>5.880000000000001</x:v>
      </x:c>
      <x:c r="H401" s="57" t="str">
        <x:v>modeled_latent_ensemble</x:v>
      </x:c>
    </x:row>
    <x:row r="402" ht="15" hidden="0" customHeight="1">
      <x:c r="A402" s="59" t="n">
        <x:v>397</x:v>
      </x:c>
      <x:c r="B402" s="59" t="n">
        <x:v>8.772151438176044</x:v>
      </x:c>
      <x:c r="C402" s="59" t="n">
        <x:v>6.0064182802068835</x:v>
      </x:c>
      <x:c r="D402" s="59" t="n">
        <x:v>5.143235823864223</x:v>
      </x:c>
      <x:c r="E402" s="59" t="n">
        <x:v>3.0020831973874835</x:v>
      </x:c>
      <x:c r="F402" s="59" t="n">
        <x:v>6.476111260365367</x:v>
      </x:c>
      <x:c r="G402" s="59" t="n">
        <x:v>5.880000000000001</x:v>
      </x:c>
      <x:c r="H402" s="58" t="str">
        <x:v>modeled_latent_ensemble</x:v>
      </x:c>
    </x:row>
    <x:row r="403" ht="15" hidden="0" customHeight="1">
      <x:c r="A403" s="60" t="n">
        <x:v>398</x:v>
      </x:c>
      <x:c r="B403" s="60" t="n">
        <x:v>9.002410588708425</x:v>
      </x:c>
      <x:c r="C403" s="60" t="n">
        <x:v>6.144926276742102</x:v>
      </x:c>
      <x:c r="D403" s="60" t="n">
        <x:v>5.137153895025575</x:v>
      </x:c>
      <x:c r="E403" s="60" t="n">
        <x:v>2.632769851764469</x:v>
      </x:c>
      <x:c r="F403" s="60" t="n">
        <x:v>6.4827393877594295</x:v>
      </x:c>
      <x:c r="G403" s="60" t="n">
        <x:v>5.880000000000001</x:v>
      </x:c>
      <x:c r="H403" s="57" t="str">
        <x:v>modeled_latent_ensemble</x:v>
      </x:c>
    </x:row>
    <x:row r="404" ht="15" hidden="0" customHeight="1">
      <x:c r="A404" s="59" t="n">
        <x:v>399</x:v>
      </x:c>
      <x:c r="B404" s="59" t="n">
        <x:v>9.010059867703538</x:v>
      </x:c>
      <x:c r="C404" s="59" t="n">
        <x:v>6.152228215994415</x:v>
      </x:c>
      <x:c r="D404" s="59" t="n">
        <x:v>5.014820257809321</x:v>
      </x:c>
      <x:c r="E404" s="59" t="n">
        <x:v>2.873257409237286</x:v>
      </x:c>
      <x:c r="F404" s="59" t="n">
        <x:v>6.349634249255441</x:v>
      </x:c>
      <x:c r="G404" s="59" t="n">
        <x:v>5.88</x:v>
      </x:c>
      <x:c r="H404" s="58" t="str">
        <x:v>modeled_latent_ensemble</x:v>
      </x:c>
    </x:row>
    <x:row r="405" ht="15" hidden="0" customHeight="1">
      <x:c r="A405" s="60" t="n">
        <x:v>400</x:v>
      </x:c>
      <x:c r="B405" s="60" t="n">
        <x:v>8.827201977275143</x:v>
      </x:c>
      <x:c r="C405" s="60" t="n">
        <x:v>5.976660520803618</x:v>
      </x:c>
      <x:c r="D405" s="60" t="n">
        <x:v>5.278612163806172</x:v>
      </x:c>
      <x:c r="E405" s="60" t="n">
        <x:v>2.9182499695727584</x:v>
      </x:c>
      <x:c r="F405" s="60" t="n">
        <x:v>6.39927536854231</x:v>
      </x:c>
      <x:c r="G405" s="60" t="n">
        <x:v>5.880000000000001</x:v>
      </x:c>
      <x:c r="H405" s="57" t="str">
        <x:v>modeled_latent_ensemble</x:v>
      </x:c>
    </x:row>
    <x:row r="406" ht="15" hidden="0" customHeight="1">
      <x:c r="A406" s="59" t="n">
        <x:v>401</x:v>
      </x:c>
      <x:c r="B406" s="59" t="n">
        <x:v>8.844550997463642</x:v>
      </x:c>
      <x:c r="C406" s="59" t="n">
        <x:v>5.883792090450193</x:v>
      </x:c>
      <x:c r="D406" s="59" t="n">
        <x:v>5.028343253570166</x:v>
      </x:c>
      <x:c r="E406" s="59" t="n">
        <x:v>3.2047869496969836</x:v>
      </x:c>
      <x:c r="F406" s="59" t="n">
        <x:v>6.438526708819016</x:v>
      </x:c>
      <x:c r="G406" s="59" t="n">
        <x:v>5.880000000000001</x:v>
      </x:c>
      <x:c r="H406" s="58" t="str">
        <x:v>modeled_latent_ensemble</x:v>
      </x:c>
    </x:row>
    <x:row r="407" ht="15" hidden="0" customHeight="1">
      <x:c r="A407" s="60" t="n">
        <x:v>402</x:v>
      </x:c>
      <x:c r="B407" s="60" t="n">
        <x:v>8.950723772035962</x:v>
      </x:c>
      <x:c r="C407" s="60" t="n">
        <x:v>6.078624553727118</x:v>
      </x:c>
      <x:c r="D407" s="60" t="n">
        <x:v>5.054223777506642</x:v>
      </x:c>
      <x:c r="E407" s="60" t="n">
        <x:v>3.109102430666391</x:v>
      </x:c>
      <x:c r="F407" s="60" t="n">
        <x:v>6.20732546606389</x:v>
      </x:c>
      <x:c r="G407" s="60" t="n">
        <x:v>5.880000000000001</x:v>
      </x:c>
      <x:c r="H407" s="57" t="str">
        <x:v>modeled_latent_ensemble</x:v>
      </x:c>
    </x:row>
    <x:row r="408" ht="15" hidden="0" customHeight="1">
      <x:c r="A408" s="59" t="n">
        <x:v>403</x:v>
      </x:c>
      <x:c r="B408" s="59" t="n">
        <x:v>8.820980856166416</x:v>
      </x:c>
      <x:c r="C408" s="59" t="n">
        <x:v>6.084808391749795</x:v>
      </x:c>
      <x:c r="D408" s="59" t="n">
        <x:v>5.033876276050459</x:v>
      </x:c>
      <x:c r="E408" s="59" t="n">
        <x:v>3.248551949035697</x:v>
      </x:c>
      <x:c r="F408" s="59" t="n">
        <x:v>6.2117825269976334</x:v>
      </x:c>
      <x:c r="G408" s="59" t="n">
        <x:v>5.880000000000001</x:v>
      </x:c>
      <x:c r="H408" s="58" t="str">
        <x:v>modeled_latent_ensemble</x:v>
      </x:c>
    </x:row>
    <x:row r="409" ht="15" hidden="0" customHeight="1">
      <x:c r="A409" s="60" t="n">
        <x:v>404</x:v>
      </x:c>
      <x:c r="B409" s="60" t="n">
        <x:v>8.935089341912796</x:v>
      </x:c>
      <x:c r="C409" s="60" t="n">
        <x:v>5.97342436187748</x:v>
      </x:c>
      <x:c r="D409" s="60" t="n">
        <x:v>5.227654048337881</x:v>
      </x:c>
      <x:c r="E409" s="60" t="n">
        <x:v>2.780731916516396</x:v>
      </x:c>
      <x:c r="F409" s="60" t="n">
        <x:v>6.483100331355448</x:v>
      </x:c>
      <x:c r="G409" s="60" t="n">
        <x:v>5.880000000000001</x:v>
      </x:c>
      <x:c r="H409" s="57" t="str">
        <x:v>modeled_latent_ensemble</x:v>
      </x:c>
    </x:row>
    <x:row r="410" ht="15" hidden="0" customHeight="1">
      <x:c r="A410" s="59" t="n">
        <x:v>405</x:v>
      </x:c>
      <x:c r="B410" s="59" t="n">
        <x:v>8.85460043189736</x:v>
      </x:c>
      <x:c r="C410" s="59" t="n">
        <x:v>5.907121152136032</x:v>
      </x:c>
      <x:c r="D410" s="59" t="n">
        <x:v>5.003123899871571</x:v>
      </x:c>
      <x:c r="E410" s="59" t="n">
        <x:v>3.209378490742725</x:v>
      </x:c>
      <x:c r="F410" s="59" t="n">
        <x:v>6.425776025352314</x:v>
      </x:c>
      <x:c r="G410" s="59" t="n">
        <x:v>5.880000000000001</x:v>
      </x:c>
      <x:c r="H410" s="58" t="str">
        <x:v>modeled_latent_ensemble</x:v>
      </x:c>
    </x:row>
    <x:row r="411" ht="15" hidden="0" customHeight="1">
      <x:c r="A411" s="60" t="n">
        <x:v>406</x:v>
      </x:c>
      <x:c r="B411" s="60" t="n">
        <x:v>8.883264214114494</x:v>
      </x:c>
      <x:c r="C411" s="60" t="n">
        <x:v>5.963986626137574</x:v>
      </x:c>
      <x:c r="D411" s="60" t="n">
        <x:v>5.279899638795265</x:v>
      </x:c>
      <x:c r="E411" s="60" t="n">
        <x:v>2.9956191540707957</x:v>
      </x:c>
      <x:c r="F411" s="60" t="n">
        <x:v>6.277230366881873</x:v>
      </x:c>
      <x:c r="G411" s="60" t="n">
        <x:v>5.880000000000001</x:v>
      </x:c>
      <x:c r="H411" s="57" t="str">
        <x:v>modeled_latent_ensemble</x:v>
      </x:c>
    </x:row>
    <x:row r="412" ht="15" hidden="0" customHeight="1">
      <x:c r="A412" s="59" t="n">
        <x:v>407</x:v>
      </x:c>
      <x:c r="B412" s="59" t="n">
        <x:v>8.772527636238198</x:v>
      </x:c>
      <x:c r="C412" s="59" t="n">
        <x:v>5.9842674236738045</x:v>
      </x:c>
      <x:c r="D412" s="59" t="n">
        <x:v>5.143896476639668</x:v>
      </x:c>
      <x:c r="E412" s="59" t="n">
        <x:v>2.9944896561307384</x:v>
      </x:c>
      <x:c r="F412" s="59" t="n">
        <x:v>6.504818807317592</x:v>
      </x:c>
      <x:c r="G412" s="59" t="n">
        <x:v>5.88</x:v>
      </x:c>
      <x:c r="H412" s="58" t="str">
        <x:v>modeled_latent_ensemble</x:v>
      </x:c>
    </x:row>
    <x:row r="413" ht="15" hidden="0" customHeight="1">
      <x:c r="A413" s="60" t="n">
        <x:v>408</x:v>
      </x:c>
      <x:c r="B413" s="60" t="n">
        <x:v>8.873309996919216</x:v>
      </x:c>
      <x:c r="C413" s="60" t="n">
        <x:v>5.957643576515308</x:v>
      </x:c>
      <x:c r="D413" s="60" t="n">
        <x:v>5.088395071788222</x:v>
      </x:c>
      <x:c r="E413" s="60" t="n">
        <x:v>2.9749153784037343</x:v>
      </x:c>
      <x:c r="F413" s="60" t="n">
        <x:v>6.505735976373519</x:v>
      </x:c>
      <x:c r="G413" s="60" t="n">
        <x:v>5.880000000000001</x:v>
      </x:c>
      <x:c r="H413" s="57" t="str">
        <x:v>modeled_latent_ensemble</x:v>
      </x:c>
    </x:row>
    <x:row r="414" ht="15" hidden="0" customHeight="1">
      <x:c r="A414" s="59" t="n">
        <x:v>409</x:v>
      </x:c>
      <x:c r="B414" s="59" t="n">
        <x:v>8.853940603913243</x:v>
      </x:c>
      <x:c r="C414" s="59" t="n">
        <x:v>5.897853573710075</x:v>
      </x:c>
      <x:c r="D414" s="59" t="n">
        <x:v>5.253095433891156</x:v>
      </x:c>
      <x:c r="E414" s="59" t="n">
        <x:v>3.088387835315775</x:v>
      </x:c>
      <x:c r="F414" s="59" t="n">
        <x:v>6.306722553169752</x:v>
      </x:c>
      <x:c r="G414" s="59" t="n">
        <x:v>5.88</x:v>
      </x:c>
      <x:c r="H414" s="58" t="str">
        <x:v>modeled_latent_ensemble</x:v>
      </x:c>
    </x:row>
    <x:row r="415" ht="15" hidden="0" customHeight="1">
      <x:c r="A415" s="60" t="n">
        <x:v>410</x:v>
      </x:c>
      <x:c r="B415" s="60" t="n">
        <x:v>8.761239853362547</x:v>
      </x:c>
      <x:c r="C415" s="60" t="n">
        <x:v>5.999797315171054</x:v>
      </x:c>
      <x:c r="D415" s="60" t="n">
        <x:v>5.105706179426481</x:v>
      </x:c>
      <x:c r="E415" s="60" t="n">
        <x:v>3.2366145887210385</x:v>
      </x:c>
      <x:c r="F415" s="60" t="n">
        <x:v>6.296642063318881</x:v>
      </x:c>
      <x:c r="G415" s="60" t="n">
        <x:v>5.880000000000001</x:v>
      </x:c>
      <x:c r="H415" s="57" t="str">
        <x:v>modeled_latent_ensemble</x:v>
      </x:c>
    </x:row>
    <x:row r="416" ht="15" hidden="0" customHeight="1">
      <x:c r="A416" s="59" t="n">
        <x:v>411</x:v>
      </x:c>
      <x:c r="B416" s="59" t="n">
        <x:v>9.03822572434486</x:v>
      </x:c>
      <x:c r="C416" s="59" t="n">
        <x:v>6.031721212439007</x:v>
      </x:c>
      <x:c r="D416" s="59" t="n">
        <x:v>5.182979030658805</x:v>
      </x:c>
      <x:c r="E416" s="59" t="n">
        <x:v>2.552370724923757</x:v>
      </x:c>
      <x:c r="F416" s="59" t="n">
        <x:v>6.594703307633573</x:v>
      </x:c>
      <x:c r="G416" s="59" t="n">
        <x:v>5.880000000000001</x:v>
      </x:c>
      <x:c r="H416" s="58" t="str">
        <x:v>modeled_latent_ensemble</x:v>
      </x:c>
    </x:row>
    <x:row r="417" ht="15" hidden="0" customHeight="1">
      <x:c r="A417" s="60" t="n">
        <x:v>412</x:v>
      </x:c>
      <x:c r="B417" s="60" t="n">
        <x:v>8.765383342088574</x:v>
      </x:c>
      <x:c r="C417" s="60" t="n">
        <x:v>5.985823731289894</x:v>
      </x:c>
      <x:c r="D417" s="60" t="n">
        <x:v>4.8798504276163674</x:v>
      </x:c>
      <x:c r="E417" s="60" t="n">
        <x:v>3.2587777903523696</x:v>
      </x:c>
      <x:c r="F417" s="60" t="n">
        <x:v>6.5101647086527965</x:v>
      </x:c>
      <x:c r="G417" s="60" t="n">
        <x:v>5.88</x:v>
      </x:c>
      <x:c r="H417" s="57" t="str">
        <x:v>modeled_latent_ensemble</x:v>
      </x:c>
    </x:row>
    <x:row r="418" ht="15" hidden="0" customHeight="1">
      <x:c r="A418" s="59" t="n">
        <x:v>413</x:v>
      </x:c>
      <x:c r="B418" s="59" t="n">
        <x:v>8.841572754787112</x:v>
      </x:c>
      <x:c r="C418" s="59" t="n">
        <x:v>5.939902999620257</x:v>
      </x:c>
      <x:c r="D418" s="59" t="n">
        <x:v>4.931427451597876</x:v>
      </x:c>
      <x:c r="E418" s="59" t="n">
        <x:v>3.2939065609074136</x:v>
      </x:c>
      <x:c r="F418" s="59" t="n">
        <x:v>6.393190233087342</x:v>
      </x:c>
      <x:c r="G418" s="59" t="n">
        <x:v>5.88</x:v>
      </x:c>
      <x:c r="H418" s="58" t="str">
        <x:v>modeled_latent_ensemble</x:v>
      </x:c>
    </x:row>
    <x:row r="419" ht="15" hidden="0" customHeight="1">
      <x:c r="A419" s="60" t="n">
        <x:v>414</x:v>
      </x:c>
      <x:c r="B419" s="60" t="n">
        <x:v>8.854868542123514</x:v>
      </x:c>
      <x:c r="C419" s="60" t="n">
        <x:v>6.108673483507797</x:v>
      </x:c>
      <x:c r="D419" s="60" t="n">
        <x:v>4.992549519823431</x:v>
      </x:c>
      <x:c r="E419" s="60" t="n">
        <x:v>2.992649467351631</x:v>
      </x:c>
      <x:c r="F419" s="60" t="n">
        <x:v>6.451258987193628</x:v>
      </x:c>
      <x:c r="G419" s="60" t="n">
        <x:v>5.88</x:v>
      </x:c>
      <x:c r="H419" s="57" t="str">
        <x:v>modeled_latent_ensemble</x:v>
      </x:c>
    </x:row>
    <x:row r="420" ht="15" hidden="0" customHeight="1">
      <x:c r="A420" s="59" t="n">
        <x:v>415</x:v>
      </x:c>
      <x:c r="B420" s="59" t="n">
        <x:v>9.033445248113674</x:v>
      </x:c>
      <x:c r="C420" s="59" t="n">
        <x:v>5.982279719943545</x:v>
      </x:c>
      <x:c r="D420" s="59" t="n">
        <x:v>5.0624368878970705</x:v>
      </x:c>
      <x:c r="E420" s="59" t="n">
        <x:v>2.9658529276170817</x:v>
      </x:c>
      <x:c r="F420" s="59" t="n">
        <x:v>6.355985216428631</x:v>
      </x:c>
      <x:c r="G420" s="59" t="n">
        <x:v>5.880000000000001</x:v>
      </x:c>
      <x:c r="H420" s="58" t="str">
        <x:v>modeled_latent_ensemble</x:v>
      </x:c>
    </x:row>
    <x:row r="421" ht="15" hidden="0" customHeight="1">
      <x:c r="A421" s="60" t="n">
        <x:v>416</x:v>
      </x:c>
      <x:c r="B421" s="60" t="n">
        <x:v>8.778999447574012</x:v>
      </x:c>
      <x:c r="C421" s="60" t="n">
        <x:v>5.928791503965249</x:v>
      </x:c>
      <x:c r="D421" s="60" t="n">
        <x:v>5.107058045285955</x:v>
      </x:c>
      <x:c r="E421" s="60" t="n">
        <x:v>3.162609732193277</x:v>
      </x:c>
      <x:c r="F421" s="60" t="n">
        <x:v>6.422541270981509</x:v>
      </x:c>
      <x:c r="G421" s="60" t="n">
        <x:v>5.880000000000001</x:v>
      </x:c>
      <x:c r="H421" s="57" t="str">
        <x:v>modeled_latent_ensemble</x:v>
      </x:c>
    </x:row>
    <x:row r="422" ht="15" hidden="0" customHeight="1">
      <x:c r="A422" s="59" t="n">
        <x:v>417</x:v>
      </x:c>
      <x:c r="B422" s="59" t="n">
        <x:v>8.846909640706517</x:v>
      </x:c>
      <x:c r="C422" s="59" t="n">
        <x:v>6.049713743579643</x:v>
      </x:c>
      <x:c r="D422" s="59" t="n">
        <x:v>4.956213432666442</x:v>
      </x:c>
      <x:c r="E422" s="59" t="n">
        <x:v>3.0208223238471983</x:v>
      </x:c>
      <x:c r="F422" s="59" t="n">
        <x:v>6.526340859200201</x:v>
      </x:c>
      <x:c r="G422" s="59" t="n">
        <x:v>5.880000000000001</x:v>
      </x:c>
      <x:c r="H422" s="58" t="str">
        <x:v>modeled_latent_ensemble</x:v>
      </x:c>
    </x:row>
    <x:row r="423" ht="15" hidden="0" customHeight="1">
      <x:c r="A423" s="60" t="n">
        <x:v>418</x:v>
      </x:c>
      <x:c r="B423" s="60" t="n">
        <x:v>8.91383667734801</x:v>
      </x:c>
      <x:c r="C423" s="60" t="n">
        <x:v>6.192373183485113</x:v>
      </x:c>
      <x:c r="D423" s="60" t="n">
        <x:v>5.0160184380260455</x:v>
      </x:c>
      <x:c r="E423" s="60" t="n">
        <x:v>2.7706463619744963</x:v>
      </x:c>
      <x:c r="F423" s="60" t="n">
        <x:v>6.507125339166335</x:v>
      </x:c>
      <x:c r="G423" s="60" t="n">
        <x:v>5.880000000000001</x:v>
      </x:c>
      <x:c r="H423" s="57" t="str">
        <x:v>modeled_latent_ensemble</x:v>
      </x:c>
    </x:row>
    <x:row r="424" ht="15" hidden="0" customHeight="1">
      <x:c r="A424" s="59" t="n">
        <x:v>419</x:v>
      </x:c>
      <x:c r="B424" s="59" t="n">
        <x:v>8.933398062201778</x:v>
      </x:c>
      <x:c r="C424" s="59" t="n">
        <x:v>6.097180272375955</x:v>
      </x:c>
      <x:c r="D424" s="59" t="n">
        <x:v>4.9441029475854785</x:v>
      </x:c>
      <x:c r="E424" s="59" t="n">
        <x:v>2.997660118693565</x:v>
      </x:c>
      <x:c r="F424" s="59" t="n">
        <x:v>6.427658599143224</x:v>
      </x:c>
      <x:c r="G424" s="59" t="n">
        <x:v>5.880000000000001</x:v>
      </x:c>
      <x:c r="H424" s="58" t="str">
        <x:v>modeled_latent_ensemble</x:v>
      </x:c>
    </x:row>
    <x:row r="425" ht="15" hidden="0" customHeight="1">
      <x:c r="A425" s="60" t="n">
        <x:v>420</x:v>
      </x:c>
      <x:c r="B425" s="60" t="n">
        <x:v>8.720246160951737</x:v>
      </x:c>
      <x:c r="C425" s="60" t="n">
        <x:v>6.044881056707594</x:v>
      </x:c>
      <x:c r="D425" s="60" t="n">
        <x:v>4.964595603227259</x:v>
      </x:c>
      <x:c r="E425" s="60" t="n">
        <x:v>3.3033224929627636</x:v>
      </x:c>
      <x:c r="F425" s="60" t="n">
        <x:v>6.366954686150647</x:v>
      </x:c>
      <x:c r="G425" s="60" t="n">
        <x:v>5.88</x:v>
      </x:c>
      <x:c r="H425" s="57" t="str">
        <x:v>modeled_latent_ensemble</x:v>
      </x:c>
    </x:row>
    <x:row r="426" ht="15" hidden="0" customHeight="1">
      <x:c r="A426" s="59" t="n">
        <x:v>421</x:v>
      </x:c>
      <x:c r="B426" s="59" t="n">
        <x:v>8.898963467215143</x:v>
      </x:c>
      <x:c r="C426" s="59" t="n">
        <x:v>6.058122351439739</x:v>
      </x:c>
      <x:c r="D426" s="59" t="n">
        <x:v>5.208842574342034</x:v>
      </x:c>
      <x:c r="E426" s="59" t="n">
        <x:v>2.660152890601138</x:v>
      </x:c>
      <x:c r="F426" s="59" t="n">
        <x:v>6.5739187164019475</x:v>
      </x:c>
      <x:c r="G426" s="59" t="n">
        <x:v>5.880000000000001</x:v>
      </x:c>
      <x:c r="H426" s="58" t="str">
        <x:v>modeled_latent_ensemble</x:v>
      </x:c>
    </x:row>
    <x:row r="427" ht="15" hidden="0" customHeight="1">
      <x:c r="A427" s="60" t="n">
        <x:v>422</x:v>
      </x:c>
      <x:c r="B427" s="60" t="n">
        <x:v>8.975371220230125</x:v>
      </x:c>
      <x:c r="C427" s="60" t="n">
        <x:v>5.858417607230673</x:v>
      </x:c>
      <x:c r="D427" s="60" t="n">
        <x:v>5.198026876806093</x:v>
      </x:c>
      <x:c r="E427" s="60" t="n">
        <x:v>2.87993835129745</x:v>
      </x:c>
      <x:c r="F427" s="60" t="n">
        <x:v>6.48824594443566</x:v>
      </x:c>
      <x:c r="G427" s="60" t="n">
        <x:v>5.880000000000001</x:v>
      </x:c>
      <x:c r="H427" s="57" t="str">
        <x:v>modeled_latent_ensemble</x:v>
      </x:c>
    </x:row>
    <x:row r="428" ht="15" hidden="0" customHeight="1">
      <x:c r="A428" s="59" t="n">
        <x:v>423</x:v>
      </x:c>
      <x:c r="B428" s="59" t="n">
        <x:v>8.958185775378949</x:v>
      </x:c>
      <x:c r="C428" s="59" t="n">
        <x:v>5.966309087371348</x:v>
      </x:c>
      <x:c r="D428" s="59" t="n">
        <x:v>4.90099981856252</x:v>
      </x:c>
      <x:c r="E428" s="59" t="n">
        <x:v>3.2030189063972068</x:v>
      </x:c>
      <x:c r="F428" s="59" t="n">
        <x:v>6.371486412289976</x:v>
      </x:c>
      <x:c r="G428" s="59" t="n">
        <x:v>5.880000000000001</x:v>
      </x:c>
      <x:c r="H428" s="58" t="str">
        <x:v>modeled_latent_ensemble</x:v>
      </x:c>
    </x:row>
    <x:row r="429" ht="15" hidden="0" customHeight="1">
      <x:c r="A429" s="60" t="n">
        <x:v>424</x:v>
      </x:c>
      <x:c r="B429" s="60" t="n">
        <x:v>8.88387937192725</x:v>
      </x:c>
      <x:c r="C429" s="60" t="n">
        <x:v>6.184669872898143</x:v>
      </x:c>
      <x:c r="D429" s="60" t="n">
        <x:v>5.108682291516307</x:v>
      </x:c>
      <x:c r="E429" s="60" t="n">
        <x:v>2.9386496210294872</x:v>
      </x:c>
      <x:c r="F429" s="60" t="n">
        <x:v>6.284118842628815</x:v>
      </x:c>
      <x:c r="G429" s="60" t="n">
        <x:v>5.880000000000001</x:v>
      </x:c>
      <x:c r="H429" s="57" t="str">
        <x:v>modeled_latent_ensemble</x:v>
      </x:c>
    </x:row>
    <x:row r="430" ht="15" hidden="0" customHeight="1">
      <x:c r="A430" s="59" t="n">
        <x:v>425</x:v>
      </x:c>
      <x:c r="B430" s="59" t="n">
        <x:v>9.002235011014807</x:v>
      </x:c>
      <x:c r="C430" s="59" t="n">
        <x:v>5.973002535226395</x:v>
      </x:c>
      <x:c r="D430" s="59" t="n">
        <x:v>5.034290713792378</x:v>
      </x:c>
      <x:c r="E430" s="59" t="n">
        <x:v>2.979522358925254</x:v>
      </x:c>
      <x:c r="F430" s="59" t="n">
        <x:v>6.410949381041167</x:v>
      </x:c>
      <x:c r="G430" s="59" t="n">
        <x:v>5.880000000000001</x:v>
      </x:c>
      <x:c r="H430" s="58" t="str">
        <x:v>modeled_latent_ensemble</x:v>
      </x:c>
    </x:row>
    <x:row r="431" ht="15" hidden="0" customHeight="1">
      <x:c r="A431" s="60" t="n">
        <x:v>426</x:v>
      </x:c>
      <x:c r="B431" s="60" t="n">
        <x:v>8.918713995973413</x:v>
      </x:c>
      <x:c r="C431" s="60" t="n">
        <x:v>6.117750324466279</x:v>
      </x:c>
      <x:c r="D431" s="60" t="n">
        <x:v>5.156835359563455</x:v>
      </x:c>
      <x:c r="E431" s="60" t="n">
        <x:v>2.8426493320311454</x:v>
      </x:c>
      <x:c r="F431" s="60" t="n">
        <x:v>6.36405098796571</x:v>
      </x:c>
      <x:c r="G431" s="60" t="n">
        <x:v>5.880000000000001</x:v>
      </x:c>
      <x:c r="H431" s="57" t="str">
        <x:v>modeled_latent_ensemble</x:v>
      </x:c>
    </x:row>
    <x:row r="432" ht="15" hidden="0" customHeight="1">
      <x:c r="A432" s="59" t="n">
        <x:v>427</x:v>
      </x:c>
      <x:c r="B432" s="59" t="n">
        <x:v>8.96205622461965</x:v>
      </x:c>
      <x:c r="C432" s="59" t="n">
        <x:v>6.1351080631735115</x:v>
      </x:c>
      <x:c r="D432" s="59" t="n">
        <x:v>4.8686549805660455</x:v>
      </x:c>
      <x:c r="E432" s="59" t="n">
        <x:v>3.143231150136644</x:v>
      </x:c>
      <x:c r="F432" s="59" t="n">
        <x:v>6.290949581504151</x:v>
      </x:c>
      <x:c r="G432" s="59" t="n">
        <x:v>5.88</x:v>
      </x:c>
      <x:c r="H432" s="58" t="str">
        <x:v>modeled_latent_ensemble</x:v>
      </x:c>
    </x:row>
    <x:row r="433" ht="15" hidden="0" customHeight="1">
      <x:c r="A433" s="60" t="n">
        <x:v>428</x:v>
      </x:c>
      <x:c r="B433" s="60" t="n">
        <x:v>8.819591036774627</x:v>
      </x:c>
      <x:c r="C433" s="60" t="n">
        <x:v>5.9004371488762315</x:v>
      </x:c>
      <x:c r="D433" s="60" t="n">
        <x:v>5.102799332785311</x:v>
      </x:c>
      <x:c r="E433" s="60" t="n">
        <x:v>3.2550503972895113</x:v>
      </x:c>
      <x:c r="F433" s="60" t="n">
        <x:v>6.322122084274319</x:v>
      </x:c>
      <x:c r="G433" s="60" t="n">
        <x:v>5.880000000000001</x:v>
      </x:c>
      <x:c r="H433" s="57" t="str">
        <x:v>modeled_latent_ensemble</x:v>
      </x:c>
    </x:row>
    <x:row r="434" ht="15" hidden="0" customHeight="1">
      <x:c r="A434" s="59" t="n">
        <x:v>429</x:v>
      </x:c>
      <x:c r="B434" s="59" t="n">
        <x:v>8.769678092441493</x:v>
      </x:c>
      <x:c r="C434" s="59" t="n">
        <x:v>5.972460196072895</x:v>
      </x:c>
      <x:c r="D434" s="59" t="n">
        <x:v>5.145040345028445</x:v>
      </x:c>
      <x:c r="E434" s="59" t="n">
        <x:v>2.922575708560812</x:v>
      </x:c>
      <x:c r="F434" s="59" t="n">
        <x:v>6.590245657896356</x:v>
      </x:c>
      <x:c r="G434" s="59" t="n">
        <x:v>5.880000000000001</x:v>
      </x:c>
      <x:c r="H434" s="58" t="str">
        <x:v>modeled_latent_ensemble</x:v>
      </x:c>
    </x:row>
    <x:row r="435" ht="15" hidden="0" customHeight="1">
      <x:c r="A435" s="60" t="n">
        <x:v>430</x:v>
      </x:c>
      <x:c r="B435" s="60" t="n">
        <x:v>8.854611259849841</x:v>
      </x:c>
      <x:c r="C435" s="60" t="n">
        <x:v>6.018814208454821</x:v>
      </x:c>
      <x:c r="D435" s="60" t="n">
        <x:v>4.916391380911146</x:v>
      </x:c>
      <x:c r="E435" s="60" t="n">
        <x:v>3.307574023346651</x:v>
      </x:c>
      <x:c r="F435" s="60" t="n">
        <x:v>6.302609127437542</x:v>
      </x:c>
      <x:c r="G435" s="60" t="n">
        <x:v>5.880000000000001</x:v>
      </x:c>
      <x:c r="H435" s="57" t="str">
        <x:v>modeled_latent_ensemble</x:v>
      </x:c>
    </x:row>
    <x:row r="436" ht="15" hidden="0" customHeight="1">
      <x:c r="A436" s="59" t="n">
        <x:v>431</x:v>
      </x:c>
      <x:c r="B436" s="59" t="n">
        <x:v>8.922980957839133</x:v>
      </x:c>
      <x:c r="C436" s="59" t="n">
        <x:v>5.8646431028757835</x:v>
      </x:c>
      <x:c r="D436" s="59" t="n">
        <x:v>4.821796644300566</x:v>
      </x:c>
      <x:c r="E436" s="59" t="n">
        <x:v>3.33343102790048</x:v>
      </x:c>
      <x:c r="F436" s="59" t="n">
        <x:v>6.457148267084039</x:v>
      </x:c>
      <x:c r="G436" s="59" t="n">
        <x:v>5.880000000000001</x:v>
      </x:c>
      <x:c r="H436" s="58" t="str">
        <x:v>modeled_latent_ensemble</x:v>
      </x:c>
    </x:row>
    <x:row r="437" ht="15" hidden="0" customHeight="1">
      <x:c r="A437" s="60" t="n">
        <x:v>432</x:v>
      </x:c>
      <x:c r="B437" s="60" t="n">
        <x:v>8.8790270454151</x:v>
      </x:c>
      <x:c r="C437" s="60" t="n">
        <x:v>6.101579689986726</x:v>
      </x:c>
      <x:c r="D437" s="60" t="n">
        <x:v>5.146423754155535</x:v>
      </x:c>
      <x:c r="E437" s="60" t="n">
        <x:v>2.816576185058006</x:v>
      </x:c>
      <x:c r="F437" s="60" t="n">
        <x:v>6.456393325384635</x:v>
      </x:c>
      <x:c r="G437" s="60" t="n">
        <x:v>5.880000000000001</x:v>
      </x:c>
      <x:c r="H437" s="57" t="str">
        <x:v>modeled_latent_ensemble</x:v>
      </x:c>
    </x:row>
    <x:row r="438" ht="15" hidden="0" customHeight="1">
      <x:c r="A438" s="59" t="n">
        <x:v>433</x:v>
      </x:c>
      <x:c r="B438" s="59" t="n">
        <x:v>8.942911537860192</x:v>
      </x:c>
      <x:c r="C438" s="59" t="n">
        <x:v>6.034819957907628</x:v>
      </x:c>
      <x:c r="D438" s="59" t="n">
        <x:v>4.904259067634442</x:v>
      </x:c>
      <x:c r="E438" s="59" t="n">
        <x:v>2.883515721974524</x:v>
      </x:c>
      <x:c r="F438" s="59" t="n">
        <x:v>6.634493714623216</x:v>
      </x:c>
      <x:c r="G438" s="59" t="n">
        <x:v>5.880000000000001</x:v>
      </x:c>
      <x:c r="H438" s="58" t="str">
        <x:v>modeled_latent_ensemble</x:v>
      </x:c>
    </x:row>
    <x:row r="439" ht="15" hidden="0" customHeight="1">
      <x:c r="A439" s="60" t="n">
        <x:v>434</x:v>
      </x:c>
      <x:c r="B439" s="60" t="n">
        <x:v>8.789042360232274</x:v>
      </x:c>
      <x:c r="C439" s="60" t="n">
        <x:v>6.009496724274724</x:v>
      </x:c>
      <x:c r="D439" s="60" t="n">
        <x:v>5.071459024911648</x:v>
      </x:c>
      <x:c r="E439" s="60" t="n">
        <x:v>2.9566758811502654</x:v>
      </x:c>
      <x:c r="F439" s="60" t="n">
        <x:v>6.573326009431089</x:v>
      </x:c>
      <x:c r="G439" s="60" t="n">
        <x:v>5.88</x:v>
      </x:c>
      <x:c r="H439" s="57" t="str">
        <x:v>modeled_latent_ensemble</x:v>
      </x:c>
    </x:row>
    <x:row r="440" ht="15" hidden="0" customHeight="1">
      <x:c r="A440" s="59" t="n">
        <x:v>435</x:v>
      </x:c>
      <x:c r="B440" s="59" t="n">
        <x:v>8.954797115194118</x:v>
      </x:c>
      <x:c r="C440" s="59" t="n">
        <x:v>6.052128530753182</x:v>
      </x:c>
      <x:c r="D440" s="59" t="n">
        <x:v>5.113260487795738</x:v>
      </x:c>
      <x:c r="E440" s="59" t="n">
        <x:v>2.6139613008854283</x:v>
      </x:c>
      <x:c r="F440" s="59" t="n">
        <x:v>6.665852565371535</x:v>
      </x:c>
      <x:c r="G440" s="59" t="n">
        <x:v>5.880000000000001</x:v>
      </x:c>
      <x:c r="H440" s="58" t="str">
        <x:v>modeled_latent_ensemble</x:v>
      </x:c>
    </x:row>
    <x:row r="441" ht="15" hidden="0" customHeight="1">
      <x:c r="A441" s="60" t="n">
        <x:v>436</x:v>
      </x:c>
      <x:c r="B441" s="60" t="n">
        <x:v>8.855333436485505</x:v>
      </x:c>
      <x:c r="C441" s="60" t="n">
        <x:v>6.021496864222749</x:v>
      </x:c>
      <x:c r="D441" s="60" t="n">
        <x:v>5.164852713359227</x:v>
      </x:c>
      <x:c r="E441" s="60" t="n">
        <x:v>2.8473153733921546</x:v>
      </x:c>
      <x:c r="F441" s="60" t="n">
        <x:v>6.511001612540365</x:v>
      </x:c>
      <x:c r="G441" s="60" t="n">
        <x:v>5.880000000000001</x:v>
      </x:c>
      <x:c r="H441" s="57" t="str">
        <x:v>modeled_latent_ensemble</x:v>
      </x:c>
    </x:row>
    <x:row r="442" ht="15" hidden="0" customHeight="1">
      <x:c r="A442" s="59" t="n">
        <x:v>437</x:v>
      </x:c>
      <x:c r="B442" s="59" t="n">
        <x:v>8.911483187959556</x:v>
      </x:c>
      <x:c r="C442" s="59" t="n">
        <x:v>6.041543079090406</x:v>
      </x:c>
      <x:c r="D442" s="59" t="n">
        <x:v>5.046170754372077</x:v>
      </x:c>
      <x:c r="E442" s="59" t="n">
        <x:v>3.0163723187972584</x:v>
      </x:c>
      <x:c r="F442" s="59" t="n">
        <x:v>6.384430659780704</x:v>
      </x:c>
      <x:c r="G442" s="59" t="n">
        <x:v>5.880000000000001</x:v>
      </x:c>
      <x:c r="H442" s="58" t="str">
        <x:v>modeled_latent_ensemble</x:v>
      </x:c>
    </x:row>
    <x:row r="443" ht="15" hidden="0" customHeight="1">
      <x:c r="A443" s="60" t="n">
        <x:v>438</x:v>
      </x:c>
      <x:c r="B443" s="60" t="n">
        <x:v>8.738578306301566</x:v>
      </x:c>
      <x:c r="C443" s="60" t="n">
        <x:v>6.024286569756569</x:v>
      </x:c>
      <x:c r="D443" s="60" t="n">
        <x:v>5.091485515304946</x:v>
      </x:c>
      <x:c r="E443" s="60" t="n">
        <x:v>3.303635355016159</x:v>
      </x:c>
      <x:c r="F443" s="60" t="n">
        <x:v>6.242014253620761</x:v>
      </x:c>
      <x:c r="G443" s="60" t="n">
        <x:v>5.88</x:v>
      </x:c>
      <x:c r="H443" s="57" t="str">
        <x:v>modeled_latent_ensemble</x:v>
      </x:c>
    </x:row>
    <x:row r="444" ht="15" hidden="0" customHeight="1">
      <x:c r="A444" s="59" t="n">
        <x:v>439</x:v>
      </x:c>
      <x:c r="B444" s="59" t="n">
        <x:v>8.83857566351797</x:v>
      </x:c>
      <x:c r="C444" s="59" t="n">
        <x:v>6.010962492411195</x:v>
      </x:c>
      <x:c r="D444" s="59" t="n">
        <x:v>5.005740687934212</x:v>
      </x:c>
      <x:c r="E444" s="59" t="n">
        <x:v>3.378869209633683</x:v>
      </x:c>
      <x:c r="F444" s="59" t="n">
        <x:v>6.165851946502942</x:v>
      </x:c>
      <x:c r="G444" s="59" t="n">
        <x:v>5.88</x:v>
      </x:c>
      <x:c r="H444" s="58" t="str">
        <x:v>modeled_latent_ensemble</x:v>
      </x:c>
    </x:row>
    <x:row r="445" ht="15" hidden="0" customHeight="1">
      <x:c r="A445" s="60" t="n">
        <x:v>440</x:v>
      </x:c>
      <x:c r="B445" s="60" t="n">
        <x:v>8.904689185183692</x:v>
      </x:c>
      <x:c r="C445" s="60" t="n">
        <x:v>6.193061355510404</x:v>
      </x:c>
      <x:c r="D445" s="60" t="n">
        <x:v>5.13492620273031</x:v>
      </x:c>
      <x:c r="E445" s="60" t="n">
        <x:v>2.976577807704336</x:v>
      </x:c>
      <x:c r="F445" s="60" t="n">
        <x:v>6.190745448871258</x:v>
      </x:c>
      <x:c r="G445" s="60" t="n">
        <x:v>5.880000000000001</x:v>
      </x:c>
      <x:c r="H445" s="57" t="str">
        <x:v>modeled_latent_ensemble</x:v>
      </x:c>
    </x:row>
    <x:row r="446" ht="15" hidden="0" customHeight="1">
      <x:c r="A446" s="59" t="n">
        <x:v>441</x:v>
      </x:c>
      <x:c r="B446" s="59" t="n">
        <x:v>8.967866824344188</x:v>
      </x:c>
      <x:c r="C446" s="59" t="n">
        <x:v>6.116542174234408</x:v>
      </x:c>
      <x:c r="D446" s="59" t="n">
        <x:v>5.070635068246195</x:v>
      </x:c>
      <x:c r="E446" s="59" t="n">
        <x:v>3.0227455178345495</x:v>
      </x:c>
      <x:c r="F446" s="59" t="n">
        <x:v>6.222210415340661</x:v>
      </x:c>
      <x:c r="G446" s="59" t="n">
        <x:v>5.880000000000001</x:v>
      </x:c>
      <x:c r="H446" s="58" t="str">
        <x:v>modeled_latent_ensemble</x:v>
      </x:c>
    </x:row>
    <x:row r="447" ht="15" hidden="0" customHeight="1">
      <x:c r="A447" s="60" t="n">
        <x:v>442</x:v>
      </x:c>
      <x:c r="B447" s="60" t="n">
        <x:v>8.846399295221369</x:v>
      </x:c>
      <x:c r="C447" s="60" t="n">
        <x:v>5.954904848584914</x:v>
      </x:c>
      <x:c r="D447" s="60" t="n">
        <x:v>5.177332225117622</x:v>
      </x:c>
      <x:c r="E447" s="60" t="n">
        <x:v>2.9732210877816945</x:v>
      </x:c>
      <x:c r="F447" s="60" t="n">
        <x:v>6.448142543294401</x:v>
      </x:c>
      <x:c r="G447" s="60" t="n">
        <x:v>5.880000000000001</x:v>
      </x:c>
      <x:c r="H447" s="57" t="str">
        <x:v>modeled_latent_ensemble</x:v>
      </x:c>
    </x:row>
    <x:row r="448" ht="15" hidden="0" customHeight="1">
      <x:c r="A448" s="59" t="n">
        <x:v>443</x:v>
      </x:c>
      <x:c r="B448" s="59" t="n">
        <x:v>9.013540353576403</x:v>
      </x:c>
      <x:c r="C448" s="59" t="n">
        <x:v>6.008761151265146</x:v>
      </x:c>
      <x:c r="D448" s="59" t="n">
        <x:v>4.996034943084167</x:v>
      </x:c>
      <x:c r="E448" s="59" t="n">
        <x:v>2.9576105796419028</x:v>
      </x:c>
      <x:c r="F448" s="59" t="n">
        <x:v>6.424052972432383</x:v>
      </x:c>
      <x:c r="G448" s="59" t="n">
        <x:v>5.88</x:v>
      </x:c>
      <x:c r="H448" s="58" t="str">
        <x:v>modeled_latent_ensemble</x:v>
      </x:c>
    </x:row>
    <x:row r="449" ht="15" hidden="0" customHeight="1">
      <x:c r="A449" s="60" t="n">
        <x:v>444</x:v>
      </x:c>
      <x:c r="B449" s="60" t="n">
        <x:v>8.89107416811968</x:v>
      </x:c>
      <x:c r="C449" s="60" t="n">
        <x:v>6.025443806906297</x:v>
      </x:c>
      <x:c r="D449" s="60" t="n">
        <x:v>5.150756259724194</x:v>
      </x:c>
      <x:c r="E449" s="60" t="n">
        <x:v>2.955119269146344</x:v>
      </x:c>
      <x:c r="F449" s="60" t="n">
        <x:v>6.377606496103487</x:v>
      </x:c>
      <x:c r="G449" s="60" t="n">
        <x:v>5.880000000000001</x:v>
      </x:c>
      <x:c r="H449" s="57" t="str">
        <x:v>modeled_latent_ensemble</x:v>
      </x:c>
    </x:row>
    <x:row r="450" ht="15" hidden="0" customHeight="1">
      <x:c r="A450" s="59" t="n">
        <x:v>445</x:v>
      </x:c>
      <x:c r="B450" s="59" t="n">
        <x:v>8.941103003049827</x:v>
      </x:c>
      <x:c r="C450" s="59" t="n">
        <x:v>6.004867427053829</x:v>
      </x:c>
      <x:c r="D450" s="59" t="n">
        <x:v>5.064637337249094</x:v>
      </x:c>
      <x:c r="E450" s="59" t="n">
        <x:v>3.2128287113917753</x:v>
      </x:c>
      <x:c r="F450" s="59" t="n">
        <x:v>6.176563521255475</x:v>
      </x:c>
      <x:c r="G450" s="59" t="n">
        <x:v>5.880000000000001</x:v>
      </x:c>
      <x:c r="H450" s="58" t="str">
        <x:v>modeled_latent_ensemble</x:v>
      </x:c>
    </x:row>
    <x:row r="451" ht="15" hidden="0" customHeight="1">
      <x:c r="A451" s="60" t="n">
        <x:v>446</x:v>
      </x:c>
      <x:c r="B451" s="60" t="n">
        <x:v>8.875174357818038</x:v>
      </x:c>
      <x:c r="C451" s="60" t="n">
        <x:v>5.965497673151005</x:v>
      </x:c>
      <x:c r="D451" s="60" t="n">
        <x:v>5.152787888041296</x:v>
      </x:c>
      <x:c r="E451" s="60" t="n">
        <x:v>3.0996216421023237</x:v>
      </x:c>
      <x:c r="F451" s="60" t="n">
        <x:v>6.306918438887339</x:v>
      </x:c>
      <x:c r="G451" s="60" t="n">
        <x:v>5.880000000000001</x:v>
      </x:c>
      <x:c r="H451" s="57" t="str">
        <x:v>modeled_latent_ensemble</x:v>
      </x:c>
    </x:row>
    <x:row r="452" ht="15" hidden="0" customHeight="1">
      <x:c r="A452" s="59" t="n">
        <x:v>447</x:v>
      </x:c>
      <x:c r="B452" s="59" t="n">
        <x:v>8.722232771762851</x:v>
      </x:c>
      <x:c r="C452" s="59" t="n">
        <x:v>6.018471032156285</x:v>
      </x:c>
      <x:c r="D452" s="59" t="n">
        <x:v>4.99453269213063</x:v>
      </x:c>
      <x:c r="E452" s="59" t="n">
        <x:v>3.347003216282469</x:v>
      </x:c>
      <x:c r="F452" s="59" t="n">
        <x:v>6.317760287667766</x:v>
      </x:c>
      <x:c r="G452" s="59" t="n">
        <x:v>5.880000000000001</x:v>
      </x:c>
      <x:c r="H452" s="58" t="str">
        <x:v>modeled_latent_ensemble</x:v>
      </x:c>
    </x:row>
    <x:row r="453" ht="15" hidden="0" customHeight="1">
      <x:c r="A453" s="60" t="n">
        <x:v>448</x:v>
      </x:c>
      <x:c r="B453" s="60" t="n">
        <x:v>8.980209492255101</x:v>
      </x:c>
      <x:c r="C453" s="60" t="n">
        <x:v>6.124534672130332</x:v>
      </x:c>
      <x:c r="D453" s="60" t="n">
        <x:v>5.180387417193836</x:v>
      </x:c>
      <x:c r="E453" s="60" t="n">
        <x:v>2.8894675660730194</x:v>
      </x:c>
      <x:c r="F453" s="60" t="n">
        <x:v>6.225400852347713</x:v>
      </x:c>
      <x:c r="G453" s="60" t="n">
        <x:v>5.880000000000001</x:v>
      </x:c>
      <x:c r="H453" s="57" t="str">
        <x:v>modeled_latent_ensemble</x:v>
      </x:c>
    </x:row>
    <x:row r="454" ht="15" hidden="0" customHeight="1">
      <x:c r="A454" s="59" t="n">
        <x:v>449</x:v>
      </x:c>
      <x:c r="B454" s="59" t="n">
        <x:v>8.882476283906927</x:v>
      </x:c>
      <x:c r="C454" s="59" t="n">
        <x:v>6.131211606505526</x:v>
      </x:c>
      <x:c r="D454" s="59" t="n">
        <x:v>5.015075178970791</x:v>
      </x:c>
      <x:c r="E454" s="59" t="n">
        <x:v>3.215203339655849</x:v>
      </x:c>
      <x:c r="F454" s="59" t="n">
        <x:v>6.156033590960908</x:v>
      </x:c>
      <x:c r="G454" s="59" t="n">
        <x:v>5.88</x:v>
      </x:c>
      <x:c r="H454" s="58" t="str">
        <x:v>modeled_latent_ensemble</x:v>
      </x:c>
    </x:row>
    <x:row r="455" ht="15" hidden="0" customHeight="1">
      <x:c r="A455" s="60" t="n">
        <x:v>450</x:v>
      </x:c>
      <x:c r="B455" s="60" t="n">
        <x:v>8.816569918082035</x:v>
      </x:c>
      <x:c r="C455" s="60" t="n">
        <x:v>5.8836978210817215</x:v>
      </x:c>
      <x:c r="D455" s="60" t="n">
        <x:v>4.921259093889677</x:v>
      </x:c>
      <x:c r="E455" s="60" t="n">
        <x:v>3.4819035470059605</x:v>
      </x:c>
      <x:c r="F455" s="60" t="n">
        <x:v>6.296569619940607</x:v>
      </x:c>
      <x:c r="G455" s="60" t="n">
        <x:v>5.88</x:v>
      </x:c>
      <x:c r="H455" s="57" t="str">
        <x:v>modeled_latent_ensemble</x:v>
      </x:c>
    </x:row>
    <x:row r="456" ht="15" hidden="0" customHeight="1">
      <x:c r="A456" s="59" t="n">
        <x:v>451</x:v>
      </x:c>
      <x:c r="B456" s="59" t="n">
        <x:v>8.814625492505613</x:v>
      </x:c>
      <x:c r="C456" s="59" t="n">
        <x:v>5.923433085790508</x:v>
      </x:c>
      <x:c r="D456" s="59" t="n">
        <x:v>5.124642069745316</x:v>
      </x:c>
      <x:c r="E456" s="59" t="n">
        <x:v>3.09009665574369</x:v>
      </x:c>
      <x:c r="F456" s="59" t="n">
        <x:v>6.447202696214875</x:v>
      </x:c>
      <x:c r="G456" s="59" t="n">
        <x:v>5.88</x:v>
      </x:c>
      <x:c r="H456" s="58" t="str">
        <x:v>modeled_latent_ensemble</x:v>
      </x:c>
    </x:row>
    <x:row r="457" ht="15" hidden="0" customHeight="1">
      <x:c r="A457" s="60" t="n">
        <x:v>452</x:v>
      </x:c>
      <x:c r="B457" s="60" t="n">
        <x:v>8.88160776012559</x:v>
      </x:c>
      <x:c r="C457" s="60" t="n">
        <x:v>6.067728726928436</x:v>
      </x:c>
      <x:c r="D457" s="60" t="n">
        <x:v>5.034539915392088</x:v>
      </x:c>
      <x:c r="E457" s="60" t="n">
        <x:v>3.163004778186367</x:v>
      </x:c>
      <x:c r="F457" s="60" t="n">
        <x:v>6.253118819367521</x:v>
      </x:c>
      <x:c r="G457" s="60" t="n">
        <x:v>5.880000000000001</x:v>
      </x:c>
      <x:c r="H457" s="57" t="str">
        <x:v>modeled_latent_ensemble</x:v>
      </x:c>
    </x:row>
    <x:row r="458" ht="15" hidden="0" customHeight="1">
      <x:c r="A458" s="59" t="n">
        <x:v>453</x:v>
      </x:c>
      <x:c r="B458" s="59" t="n">
        <x:v>8.778947568947952</x:v>
      </x:c>
      <x:c r="C458" s="59" t="n">
        <x:v>6.059909710367883</x:v>
      </x:c>
      <x:c r="D458" s="59" t="n">
        <x:v>5.329057554638283</x:v>
      </x:c>
      <x:c r="E458" s="59" t="n">
        <x:v>3.021544680615861</x:v>
      </x:c>
      <x:c r="F458" s="59" t="n">
        <x:v>6.210540485430023</x:v>
      </x:c>
      <x:c r="G458" s="59" t="n">
        <x:v>5.880000000000001</x:v>
      </x:c>
      <x:c r="H458" s="58" t="str">
        <x:v>modeled_latent_ensemble</x:v>
      </x:c>
    </x:row>
    <x:row r="459" ht="15" hidden="0" customHeight="1">
      <x:c r="A459" s="60" t="n">
        <x:v>454</x:v>
      </x:c>
      <x:c r="B459" s="60" t="n">
        <x:v>8.810734059597804</x:v>
      </x:c>
      <x:c r="C459" s="60" t="n">
        <x:v>6.031174150178053</x:v>
      </x:c>
      <x:c r="D459" s="60" t="n">
        <x:v>4.9899208531677015</x:v>
      </x:c>
      <x:c r="E459" s="60" t="n">
        <x:v>3.2548658435984867</x:v>
      </x:c>
      <x:c r="F459" s="60" t="n">
        <x:v>6.313305093457956</x:v>
      </x:c>
      <x:c r="G459" s="60" t="n">
        <x:v>5.880000000000001</x:v>
      </x:c>
      <x:c r="H459" s="57" t="str">
        <x:v>modeled_latent_ensemble</x:v>
      </x:c>
    </x:row>
    <x:row r="460" ht="15" hidden="0" customHeight="1">
      <x:c r="A460" s="59" t="n">
        <x:v>455</x:v>
      </x:c>
      <x:c r="B460" s="59" t="n">
        <x:v>8.763330178440476</x:v>
      </x:c>
      <x:c r="C460" s="59" t="n">
        <x:v>5.904291813492551</x:v>
      </x:c>
      <x:c r="D460" s="59" t="n">
        <x:v>5.13657517519568</x:v>
      </x:c>
      <x:c r="E460" s="59" t="n">
        <x:v>3.3217773258368117</x:v>
      </x:c>
      <x:c r="F460" s="59" t="n">
        <x:v>6.274025507034483</x:v>
      </x:c>
      <x:c r="G460" s="59" t="n">
        <x:v>5.880000000000001</x:v>
      </x:c>
      <x:c r="H460" s="58" t="str">
        <x:v>modeled_latent_ensemble</x:v>
      </x:c>
    </x:row>
    <x:row r="461" ht="15" hidden="0" customHeight="1">
      <x:c r="A461" s="60" t="n">
        <x:v>456</x:v>
      </x:c>
      <x:c r="B461" s="60" t="n">
        <x:v>8.916279891564614</x:v>
      </x:c>
      <x:c r="C461" s="60" t="n">
        <x:v>5.982394124659523</x:v>
      </x:c>
      <x:c r="D461" s="60" t="n">
        <x:v>5.107047939820327</x:v>
      </x:c>
      <x:c r="E461" s="60" t="n">
        <x:v>2.827728729083972</x:v>
      </x:c>
      <x:c r="F461" s="60" t="n">
        <x:v>6.566549314871566</x:v>
      </x:c>
      <x:c r="G461" s="60" t="n">
        <x:v>5.880000000000001</x:v>
      </x:c>
      <x:c r="H461" s="57" t="str">
        <x:v>modeled_latent_ensemble</x:v>
      </x:c>
    </x:row>
    <x:row r="462" ht="15" hidden="0" customHeight="1">
      <x:c r="A462" s="59" t="n">
        <x:v>457</x:v>
      </x:c>
      <x:c r="B462" s="59" t="n">
        <x:v>8.82930831343101</x:v>
      </x:c>
      <x:c r="C462" s="59" t="n">
        <x:v>5.987962551154532</x:v>
      </x:c>
      <x:c r="D462" s="59" t="n">
        <x:v>5.084998496493202</x:v>
      </x:c>
      <x:c r="E462" s="59" t="n">
        <x:v>3.164068264037591</x:v>
      </x:c>
      <x:c r="F462" s="59" t="n">
        <x:v>6.333662374883667</x:v>
      </x:c>
      <x:c r="G462" s="59" t="n">
        <x:v>5.880000000000001</x:v>
      </x:c>
      <x:c r="H462" s="58" t="str">
        <x:v>modeled_latent_ensemble</x:v>
      </x:c>
    </x:row>
    <x:row r="463" ht="15" hidden="0" customHeight="1">
      <x:c r="A463" s="60" t="n">
        <x:v>458</x:v>
      </x:c>
      <x:c r="B463" s="60" t="n">
        <x:v>8.906799904086789</x:v>
      </x:c>
      <x:c r="C463" s="60" t="n">
        <x:v>5.934442248429415</x:v>
      </x:c>
      <x:c r="D463" s="60" t="n">
        <x:v>5.042260637083652</x:v>
      </x:c>
      <x:c r="E463" s="60" t="n">
        <x:v>3.2863065965074476</x:v>
      </x:c>
      <x:c r="F463" s="60" t="n">
        <x:v>6.230190613892698</x:v>
      </x:c>
      <x:c r="G463" s="60" t="n">
        <x:v>5.880000000000001</x:v>
      </x:c>
      <x:c r="H463" s="57" t="str">
        <x:v>modeled_latent_ensemble</x:v>
      </x:c>
    </x:row>
    <x:row r="464" ht="15" hidden="0" customHeight="1">
      <x:c r="A464" s="59" t="n">
        <x:v>459</x:v>
      </x:c>
      <x:c r="B464" s="59" t="n">
        <x:v>8.902209717367436</x:v>
      </x:c>
      <x:c r="C464" s="59" t="n">
        <x:v>6.095882457111987</x:v>
      </x:c>
      <x:c r="D464" s="59" t="n">
        <x:v>5.176407778281646</x:v>
      </x:c>
      <x:c r="E464" s="59" t="n">
        <x:v>2.938501491437616</x:v>
      </x:c>
      <x:c r="F464" s="59" t="n">
        <x:v>6.286998555801317</x:v>
      </x:c>
      <x:c r="G464" s="59" t="n">
        <x:v>5.88</x:v>
      </x:c>
      <x:c r="H464" s="58" t="str">
        <x:v>modeled_latent_ensemble</x:v>
      </x:c>
    </x:row>
    <x:row r="465" ht="15" hidden="0" customHeight="1">
      <x:c r="A465" s="60" t="n">
        <x:v>460</x:v>
      </x:c>
      <x:c r="B465" s="60" t="n">
        <x:v>8.755496684162702</x:v>
      </x:c>
      <x:c r="C465" s="60" t="n">
        <x:v>5.949104138308858</x:v>
      </x:c>
      <x:c r="D465" s="60" t="n">
        <x:v>4.917278215187206</x:v>
      </x:c>
      <x:c r="E465" s="60" t="n">
        <x:v>3.1905852652552955</x:v>
      </x:c>
      <x:c r="F465" s="60" t="n">
        <x:v>6.58753569708594</x:v>
      </x:c>
      <x:c r="G465" s="60" t="n">
        <x:v>5.88</x:v>
      </x:c>
      <x:c r="H465" s="57" t="str">
        <x:v>modeled_latent_ensemble</x:v>
      </x:c>
    </x:row>
    <x:row r="466" ht="15" hidden="0" customHeight="1">
      <x:c r="A466" s="59" t="n">
        <x:v>461</x:v>
      </x:c>
      <x:c r="B466" s="59" t="n">
        <x:v>8.971126483883022</x:v>
      </x:c>
      <x:c r="C466" s="59" t="n">
        <x:v>6.124328153694811</x:v>
      </x:c>
      <x:c r="D466" s="59" t="n">
        <x:v>5.30084330169749</x:v>
      </x:c>
      <x:c r="E466" s="59" t="n">
        <x:v>2.8174888807673124</x:v>
      </x:c>
      <x:c r="F466" s="59" t="n">
        <x:v>6.186213179957366</x:v>
      </x:c>
      <x:c r="G466" s="59" t="n">
        <x:v>5.880000000000001</x:v>
      </x:c>
      <x:c r="H466" s="58" t="str">
        <x:v>modeled_latent_ensemble</x:v>
      </x:c>
    </x:row>
    <x:row r="467" ht="15" hidden="0" customHeight="1">
      <x:c r="A467" s="60" t="n">
        <x:v>462</x:v>
      </x:c>
      <x:c r="B467" s="60" t="n">
        <x:v>8.938324691448155</x:v>
      </x:c>
      <x:c r="C467" s="60" t="n">
        <x:v>5.969322352927726</x:v>
      </x:c>
      <x:c r="D467" s="60" t="n">
        <x:v>5.258731901834662</x:v>
      </x:c>
      <x:c r="E467" s="60" t="n">
        <x:v>3.027952363182171</x:v>
      </x:c>
      <x:c r="F467" s="60" t="n">
        <x:v>6.205668690607286</x:v>
      </x:c>
      <x:c r="G467" s="60" t="n">
        <x:v>5.88</x:v>
      </x:c>
      <x:c r="H467" s="57" t="str">
        <x:v>modeled_latent_ensemble</x:v>
      </x:c>
    </x:row>
    <x:row r="468" ht="15" hidden="0" customHeight="1">
      <x:c r="A468" s="59" t="n">
        <x:v>463</x:v>
      </x:c>
      <x:c r="B468" s="59" t="n">
        <x:v>9.021719056254792</x:v>
      </x:c>
      <x:c r="C468" s="59" t="n">
        <x:v>6.097820372433953</x:v>
      </x:c>
      <x:c r="D468" s="59" t="n">
        <x:v>5.148467746842717</x:v>
      </x:c>
      <x:c r="E468" s="59" t="n">
        <x:v>2.744453007331742</x:v>
      </x:c>
      <x:c r="F468" s="59" t="n">
        <x:v>6.3875398171367985</x:v>
      </x:c>
      <x:c r="G468" s="59" t="n">
        <x:v>5.880000000000001</x:v>
      </x:c>
      <x:c r="H468" s="58" t="str">
        <x:v>modeled_latent_ensemble</x:v>
      </x:c>
    </x:row>
    <x:row r="469" ht="15" hidden="0" customHeight="1">
      <x:c r="A469" s="60" t="n">
        <x:v>464</x:v>
      </x:c>
      <x:c r="B469" s="60" t="n">
        <x:v>8.956330139648333</x:v>
      </x:c>
      <x:c r="C469" s="60" t="n">
        <x:v>6.113383501500359</x:v>
      </x:c>
      <x:c r="D469" s="60" t="n">
        <x:v>5.049781678708286</x:v>
      </x:c>
      <x:c r="E469" s="60" t="n">
        <x:v>2.938321593195442</x:v>
      </x:c>
      <x:c r="F469" s="60" t="n">
        <x:v>6.342183086947582</x:v>
      </x:c>
      <x:c r="G469" s="60" t="n">
        <x:v>5.880000000000001</x:v>
      </x:c>
      <x:c r="H469" s="57" t="str">
        <x:v>modeled_latent_ensemble</x:v>
      </x:c>
    </x:row>
    <x:row r="470" ht="15" hidden="0" customHeight="1">
      <x:c r="A470" s="59" t="n">
        <x:v>465</x:v>
      </x:c>
      <x:c r="B470" s="59" t="n">
        <x:v>8.938323981952554</x:v>
      </x:c>
      <x:c r="C470" s="59" t="n">
        <x:v>6.043582041523271</x:v>
      </x:c>
      <x:c r="D470" s="59" t="n">
        <x:v>4.857892576931723</x:v>
      </x:c>
      <x:c r="E470" s="59" t="n">
        <x:v>2.942912842872235</x:v>
      </x:c>
      <x:c r="F470" s="59" t="n">
        <x:v>6.617288556720219</x:v>
      </x:c>
      <x:c r="G470" s="59" t="n">
        <x:v>5.880000000000001</x:v>
      </x:c>
      <x:c r="H470" s="58" t="str">
        <x:v>modeled_latent_ensemble</x:v>
      </x:c>
    </x:row>
    <x:row r="471" ht="15" hidden="0" customHeight="1">
      <x:c r="A471" s="60" t="n">
        <x:v>466</x:v>
      </x:c>
      <x:c r="B471" s="60" t="n">
        <x:v>8.927543133813495</x:v>
      </x:c>
      <x:c r="C471" s="60" t="n">
        <x:v>6.127757000315686</x:v>
      </x:c>
      <x:c r="D471" s="60" t="n">
        <x:v>5.189055641142862</x:v>
      </x:c>
      <x:c r="E471" s="60" t="n">
        <x:v>2.936652992281761</x:v>
      </x:c>
      <x:c r="F471" s="60" t="n">
        <x:v>6.218991232446196</x:v>
      </x:c>
      <x:c r="G471" s="60" t="n">
        <x:v>5.880000000000001</x:v>
      </x:c>
      <x:c r="H471" s="57" t="str">
        <x:v>modeled_latent_ensemble</x:v>
      </x:c>
    </x:row>
    <x:row r="472" ht="15" hidden="0" customHeight="1">
      <x:c r="A472" s="59" t="n">
        <x:v>467</x:v>
      </x:c>
      <x:c r="B472" s="59" t="n">
        <x:v>8.868558967332849</x:v>
      </x:c>
      <x:c r="C472" s="59" t="n">
        <x:v>6.144449981037752</x:v>
      </x:c>
      <x:c r="D472" s="59" t="n">
        <x:v>5.278539462788024</x:v>
      </x:c>
      <x:c r="E472" s="59" t="n">
        <x:v>2.651491396724127</x:v>
      </x:c>
      <x:c r="F472" s="59" t="n">
        <x:v>6.45696019211725</x:v>
      </x:c>
      <x:c r="G472" s="59" t="n">
        <x:v>5.880000000000001</x:v>
      </x:c>
      <x:c r="H472" s="58" t="str">
        <x:v>modeled_latent_ensemble</x:v>
      </x:c>
    </x:row>
    <x:row r="473" ht="15" hidden="0" customHeight="1">
      <x:c r="A473" s="60" t="n">
        <x:v>468</x:v>
      </x:c>
      <x:c r="B473" s="60" t="n">
        <x:v>8.941768991949338</x:v>
      </x:c>
      <x:c r="C473" s="60" t="n">
        <x:v>5.989804503153345</x:v>
      </x:c>
      <x:c r="D473" s="60" t="n">
        <x:v>5.048954718205473</x:v>
      </x:c>
      <x:c r="E473" s="60" t="n">
        <x:v>2.777855434050064</x:v>
      </x:c>
      <x:c r="F473" s="60" t="n">
        <x:v>6.6416163526417815</x:v>
      </x:c>
      <x:c r="G473" s="60" t="n">
        <x:v>5.88</x:v>
      </x:c>
      <x:c r="H473" s="57" t="str">
        <x:v>modeled_latent_ensemble</x:v>
      </x:c>
    </x:row>
    <x:row r="474" ht="15" hidden="0" customHeight="1">
      <x:c r="A474" s="59" t="n">
        <x:v>469</x:v>
      </x:c>
      <x:c r="B474" s="59" t="n">
        <x:v>8.893235592370793</x:v>
      </x:c>
      <x:c r="C474" s="59" t="n">
        <x:v>5.987836685998986</x:v>
      </x:c>
      <x:c r="D474" s="59" t="n">
        <x:v>5.053282696627374</x:v>
      </x:c>
      <x:c r="E474" s="59" t="n">
        <x:v>2.818520536867189</x:v>
      </x:c>
      <x:c r="F474" s="59" t="n">
        <x:v>6.647124488135659</x:v>
      </x:c>
      <x:c r="G474" s="59" t="n">
        <x:v>5.880000000000001</x:v>
      </x:c>
      <x:c r="H474" s="58" t="str">
        <x:v>modeled_latent_ensemble</x:v>
      </x:c>
    </x:row>
    <x:row r="475" ht="15" hidden="0" customHeight="1">
      <x:c r="A475" s="60" t="n">
        <x:v>470</x:v>
      </x:c>
      <x:c r="B475" s="60" t="n">
        <x:v>8.809751828601641</x:v>
      </x:c>
      <x:c r="C475" s="60" t="n">
        <x:v>6.161641973563473</x:v>
      </x:c>
      <x:c r="D475" s="60" t="n">
        <x:v>4.867944597835063</x:v>
      </x:c>
      <x:c r="E475" s="60" t="n">
        <x:v>2.9613244271627663</x:v>
      </x:c>
      <x:c r="F475" s="60" t="n">
        <x:v>6.599337172837058</x:v>
      </x:c>
      <x:c r="G475" s="60" t="n">
        <x:v>5.88</x:v>
      </x:c>
      <x:c r="H475" s="57" t="str">
        <x:v>modeled_latent_ensemble</x:v>
      </x:c>
    </x:row>
    <x:row r="476" ht="15" hidden="0" customHeight="1">
      <x:c r="A476" s="59" t="n">
        <x:v>471</x:v>
      </x:c>
      <x:c r="B476" s="59" t="n">
        <x:v>8.790862633805578</x:v>
      </x:c>
      <x:c r="C476" s="59" t="n">
        <x:v>6.015910918325673</x:v>
      </x:c>
      <x:c r="D476" s="59" t="n">
        <x:v>4.992173592156381</x:v>
      </x:c>
      <x:c r="E476" s="59" t="n">
        <x:v>3.3858393100135626</x:v>
      </x:c>
      <x:c r="F476" s="59" t="n">
        <x:v>6.215213545698807</x:v>
      </x:c>
      <x:c r="G476" s="59" t="n">
        <x:v>5.88</x:v>
      </x:c>
      <x:c r="H476" s="58" t="str">
        <x:v>modeled_latent_ensemble</x:v>
      </x:c>
    </x:row>
    <x:row r="477" ht="15" hidden="0" customHeight="1">
      <x:c r="A477" s="60" t="n">
        <x:v>472</x:v>
      </x:c>
      <x:c r="B477" s="60" t="n">
        <x:v>8.874196268118572</x:v>
      </x:c>
      <x:c r="C477" s="60" t="n">
        <x:v>5.990424231196517</x:v>
      </x:c>
      <x:c r="D477" s="60" t="n">
        <x:v>5.127221048785239</x:v>
      </x:c>
      <x:c r="E477" s="60" t="n">
        <x:v>2.757120138109849</x:v>
      </x:c>
      <x:c r="F477" s="60" t="n">
        <x:v>6.651038313789823</x:v>
      </x:c>
      <x:c r="G477" s="60" t="n">
        <x:v>5.88</x:v>
      </x:c>
      <x:c r="H477" s="57" t="str">
        <x:v>modeled_latent_ensemble</x:v>
      </x:c>
    </x:row>
    <x:row r="478" ht="15" hidden="0" customHeight="1">
      <x:c r="A478" s="59" t="n">
        <x:v>473</x:v>
      </x:c>
      <x:c r="B478" s="59" t="n">
        <x:v>9.034317157364825</x:v>
      </x:c>
      <x:c r="C478" s="59" t="n">
        <x:v>5.940483753519407</x:v>
      </x:c>
      <x:c r="D478" s="59" t="n">
        <x:v>5.201476680135712</x:v>
      </x:c>
      <x:c r="E478" s="59" t="n">
        <x:v>2.881790783041387</x:v>
      </x:c>
      <x:c r="F478" s="59" t="n">
        <x:v>6.34193162593867</x:v>
      </x:c>
      <x:c r="G478" s="59" t="n">
        <x:v>5.88</x:v>
      </x:c>
      <x:c r="H478" s="58" t="str">
        <x:v>modeled_latent_ensemble</x:v>
      </x:c>
    </x:row>
    <x:row r="479" ht="15" hidden="0" customHeight="1">
      <x:c r="A479" s="60" t="n">
        <x:v>474</x:v>
      </x:c>
      <x:c r="B479" s="60" t="n">
        <x:v>8.987826839376444</x:v>
      </x:c>
      <x:c r="C479" s="60" t="n">
        <x:v>6.092517040449721</x:v>
      </x:c>
      <x:c r="D479" s="60" t="n">
        <x:v>5.0547165059080825</x:v>
      </x:c>
      <x:c r="E479" s="60" t="n">
        <x:v>2.692988756182552</x:v>
      </x:c>
      <x:c r="F479" s="60" t="n">
        <x:v>6.571950858083203</x:v>
      </x:c>
      <x:c r="G479" s="60" t="n">
        <x:v>5.880000000000001</x:v>
      </x:c>
      <x:c r="H479" s="57" t="str">
        <x:v>modeled_latent_ensemble</x:v>
      </x:c>
    </x:row>
    <x:row r="480" ht="15" hidden="0" customHeight="1">
      <x:c r="A480" s="59" t="n">
        <x:v>475</x:v>
      </x:c>
      <x:c r="B480" s="59" t="n">
        <x:v>8.868075444221159</x:v>
      </x:c>
      <x:c r="C480" s="59" t="n">
        <x:v>6.180294132894757</x:v>
      </x:c>
      <x:c r="D480" s="59" t="n">
        <x:v>5.1170406875986325</x:v>
      </x:c>
      <x:c r="E480" s="59" t="n">
        <x:v>2.647225730801867</x:v>
      </x:c>
      <x:c r="F480" s="59" t="n">
        <x:v>6.587364004483587</x:v>
      </x:c>
      <x:c r="G480" s="59" t="n">
        <x:v>5.880000000000001</x:v>
      </x:c>
      <x:c r="H480" s="58" t="str">
        <x:v>modeled_latent_ensemble</x:v>
      </x:c>
    </x:row>
    <x:row r="481" ht="15" hidden="0" customHeight="1">
      <x:c r="A481" s="60" t="n">
        <x:v>476</x:v>
      </x:c>
      <x:c r="B481" s="60" t="n">
        <x:v>8.962566259652508</x:v>
      </x:c>
      <x:c r="C481" s="60" t="n">
        <x:v>6.026845564044704</x:v>
      </x:c>
      <x:c r="D481" s="60" t="n">
        <x:v>5.120250377138585</x:v>
      </x:c>
      <x:c r="E481" s="60" t="n">
        <x:v>2.8759592714351143</x:v>
      </x:c>
      <x:c r="F481" s="60" t="n">
        <x:v>6.41437852772909</x:v>
      </x:c>
      <x:c r="G481" s="60" t="n">
        <x:v>5.88</x:v>
      </x:c>
      <x:c r="H481" s="57" t="str">
        <x:v>modeled_latent_ensemble</x:v>
      </x:c>
    </x:row>
    <x:row r="482" ht="15" hidden="0" customHeight="1">
      <x:c r="A482" s="59" t="n">
        <x:v>477</x:v>
      </x:c>
      <x:c r="B482" s="59" t="n">
        <x:v>8.940629475820993</x:v>
      </x:c>
      <x:c r="C482" s="59" t="n">
        <x:v>6.1526012192055</x:v>
      </x:c>
      <x:c r="D482" s="59" t="n">
        <x:v>4.972281334432058</x:v>
      </x:c>
      <x:c r="E482" s="59" t="n">
        <x:v>2.78821505219167</x:v>
      </x:c>
      <x:c r="F482" s="59" t="n">
        <x:v>6.546272918349781</x:v>
      </x:c>
      <x:c r="G482" s="59" t="n">
        <x:v>5.880000000000001</x:v>
      </x:c>
      <x:c r="H482" s="58" t="str">
        <x:v>modeled_latent_ensemble</x:v>
      </x:c>
    </x:row>
    <x:row r="483" ht="15" hidden="0" customHeight="1">
      <x:c r="A483" s="60" t="n">
        <x:v>478</x:v>
      </x:c>
      <x:c r="B483" s="60" t="n">
        <x:v>8.81481583100966</x:v>
      </x:c>
      <x:c r="C483" s="60" t="n">
        <x:v>6.131236070442828</x:v>
      </x:c>
      <x:c r="D483" s="60" t="n">
        <x:v>4.806225296648628</x:v>
      </x:c>
      <x:c r="E483" s="60" t="n">
        <x:v>3.228878273140264</x:v>
      </x:c>
      <x:c r="F483" s="60" t="n">
        <x:v>6.41884452875862</x:v>
      </x:c>
      <x:c r="G483" s="60" t="n">
        <x:v>5.88</x:v>
      </x:c>
      <x:c r="H483" s="57" t="str">
        <x:v>modeled_latent_ensemble</x:v>
      </x:c>
    </x:row>
    <x:row r="484" ht="15" hidden="0" customHeight="1">
      <x:c r="A484" s="59" t="n">
        <x:v>479</x:v>
      </x:c>
      <x:c r="B484" s="59" t="n">
        <x:v>8.865730850909397</x:v>
      </x:c>
      <x:c r="C484" s="59" t="n">
        <x:v>6.150237390191755</x:v>
      </x:c>
      <x:c r="D484" s="59" t="n">
        <x:v>4.996610345252067</x:v>
      </x:c>
      <x:c r="E484" s="59" t="n">
        <x:v>2.998246408506294</x:v>
      </x:c>
      <x:c r="F484" s="59" t="n">
        <x:v>6.389175005140489</x:v>
      </x:c>
      <x:c r="G484" s="59" t="n">
        <x:v>5.880000000000001</x:v>
      </x:c>
      <x:c r="H484" s="58" t="str">
        <x:v>modeled_latent_ensemble</x:v>
      </x:c>
    </x:row>
    <x:row r="485" ht="15" hidden="0" customHeight="1">
      <x:c r="A485" s="60" t="n">
        <x:v>480</x:v>
      </x:c>
      <x:c r="B485" s="60" t="n">
        <x:v>8.869081582172555</x:v>
      </x:c>
      <x:c r="C485" s="60" t="n">
        <x:v>6.096328206420758</x:v>
      </x:c>
      <x:c r="D485" s="60" t="n">
        <x:v>5.037228395302932</x:v>
      </x:c>
      <x:c r="E485" s="60" t="n">
        <x:v>3.0499500503244352</x:v>
      </x:c>
      <x:c r="F485" s="60" t="n">
        <x:v>6.347411765779322</x:v>
      </x:c>
      <x:c r="G485" s="60" t="n">
        <x:v>5.88</x:v>
      </x:c>
      <x:c r="H485" s="57" t="str">
        <x:v>modeled_latent_ensemble</x:v>
      </x:c>
    </x:row>
    <x:row r="486" ht="15" hidden="0" customHeight="1">
      <x:c r="A486" s="59" t="n">
        <x:v>481</x:v>
      </x:c>
      <x:c r="B486" s="59" t="n">
        <x:v>8.828240617196244</x:v>
      </x:c>
      <x:c r="C486" s="59" t="n">
        <x:v>5.954960616910231</x:v>
      </x:c>
      <x:c r="D486" s="59" t="n">
        <x:v>5.044230815902053</x:v>
      </x:c>
      <x:c r="E486" s="59" t="n">
        <x:v>3.2306009340842827</x:v>
      </x:c>
      <x:c r="F486" s="59" t="n">
        <x:v>6.341967015907191</x:v>
      </x:c>
      <x:c r="G486" s="59" t="n">
        <x:v>5.880000000000001</x:v>
      </x:c>
      <x:c r="H486" s="58" t="str">
        <x:v>modeled_latent_ensemble</x:v>
      </x:c>
    </x:row>
    <x:row r="487" ht="15" hidden="0" customHeight="1">
      <x:c r="A487" s="60" t="n">
        <x:v>482</x:v>
      </x:c>
      <x:c r="B487" s="60" t="n">
        <x:v>8.869029871920285</x:v>
      </x:c>
      <x:c r="C487" s="60" t="n">
        <x:v>6.014289565946533</x:v>
      </x:c>
      <x:c r="D487" s="60" t="n">
        <x:v>5.293484753554434</x:v>
      </x:c>
      <x:c r="E487" s="60" t="n">
        <x:v>2.6716284774387424</x:v>
      </x:c>
      <x:c r="F487" s="60" t="n">
        <x:v>6.5515673311400064</x:v>
      </x:c>
      <x:c r="G487" s="60" t="n">
        <x:v>5.88</x:v>
      </x:c>
      <x:c r="H487" s="57" t="str">
        <x:v>modeled_latent_ensemble</x:v>
      </x:c>
    </x:row>
    <x:row r="488" ht="15" hidden="0" customHeight="1">
      <x:c r="A488" s="59" t="n">
        <x:v>483</x:v>
      </x:c>
      <x:c r="B488" s="59" t="n">
        <x:v>8.86562512638137</x:v>
      </x:c>
      <x:c r="C488" s="59" t="n">
        <x:v>6.131546275014772</x:v>
      </x:c>
      <x:c r="D488" s="59" t="n">
        <x:v>4.873867970411233</x:v>
      </x:c>
      <x:c r="E488" s="59" t="n">
        <x:v>2.9560700724265874</x:v>
      </x:c>
      <x:c r="F488" s="59" t="n">
        <x:v>6.572890555766038</x:v>
      </x:c>
      <x:c r="G488" s="59" t="n">
        <x:v>5.880000000000001</x:v>
      </x:c>
      <x:c r="H488" s="58" t="str">
        <x:v>modeled_latent_ensemble</x:v>
      </x:c>
    </x:row>
    <x:row r="489" ht="15" hidden="0" customHeight="1">
      <x:c r="A489" s="60" t="n">
        <x:v>484</x:v>
      </x:c>
      <x:c r="B489" s="60" t="n">
        <x:v>8.981816458860914</x:v>
      </x:c>
      <x:c r="C489" s="60" t="n">
        <x:v>5.899633224107176</x:v>
      </x:c>
      <x:c r="D489" s="60" t="n">
        <x:v>5.059511417253924</x:v>
      </x:c>
      <x:c r="E489" s="60" t="n">
        <x:v>3.0487815115034667</x:v>
      </x:c>
      <x:c r="F489" s="60" t="n">
        <x:v>6.41025738827452</x:v>
      </x:c>
      <x:c r="G489" s="60" t="n">
        <x:v>5.88</x:v>
      </x:c>
      <x:c r="H489" s="57" t="str">
        <x:v>modeled_latent_ensemble</x:v>
      </x:c>
    </x:row>
    <x:row r="490" ht="15" hidden="0" customHeight="1">
      <x:c r="A490" s="59" t="n">
        <x:v>485</x:v>
      </x:c>
      <x:c r="B490" s="59" t="n">
        <x:v>8.871237160572097</x:v>
      </x:c>
      <x:c r="C490" s="59" t="n">
        <x:v>5.894392903700831</x:v>
      </x:c>
      <x:c r="D490" s="59" t="n">
        <x:v>5.319281890582888</x:v>
      </x:c>
      <x:c r="E490" s="59" t="n">
        <x:v>2.907936960802249</x:v>
      </x:c>
      <x:c r="F490" s="59" t="n">
        <x:v>6.407151084341937</x:v>
      </x:c>
      <x:c r="G490" s="59" t="n">
        <x:v>5.880000000000001</x:v>
      </x:c>
      <x:c r="H490" s="58" t="str">
        <x:v>modeled_latent_ensemble</x:v>
      </x:c>
    </x:row>
    <x:row r="491" ht="15" hidden="0" customHeight="1">
      <x:c r="A491" s="60" t="n">
        <x:v>486</x:v>
      </x:c>
      <x:c r="B491" s="60" t="n">
        <x:v>8.951758025089072</x:v>
      </x:c>
      <x:c r="C491" s="60" t="n">
        <x:v>5.923619280995198</x:v>
      </x:c>
      <x:c r="D491" s="60" t="n">
        <x:v>5.040095215776742</x:v>
      </x:c>
      <x:c r="E491" s="60" t="n">
        <x:v>3.266938933276775</x:v>
      </x:c>
      <x:c r="F491" s="60" t="n">
        <x:v>6.217588544862215</x:v>
      </x:c>
      <x:c r="G491" s="60" t="n">
        <x:v>5.880000000000001</x:v>
      </x:c>
      <x:c r="H491" s="57" t="str">
        <x:v>modeled_latent_ensemble</x:v>
      </x:c>
    </x:row>
    <x:row r="492" ht="15" hidden="0" customHeight="1">
      <x:c r="A492" s="59" t="n">
        <x:v>487</x:v>
      </x:c>
      <x:c r="B492" s="59" t="n">
        <x:v>8.959602205660524</x:v>
      </x:c>
      <x:c r="C492" s="59" t="n">
        <x:v>6.123715911211986</x:v>
      </x:c>
      <x:c r="D492" s="59" t="n">
        <x:v>4.859080155720372</x:v>
      </x:c>
      <x:c r="E492" s="59" t="n">
        <x:v>2.911720850906974</x:v>
      </x:c>
      <x:c r="F492" s="59" t="n">
        <x:v>6.545880876500147</x:v>
      </x:c>
      <x:c r="G492" s="59" t="n">
        <x:v>5.880000000000001</x:v>
      </x:c>
      <x:c r="H492" s="58" t="str">
        <x:v>modeled_latent_ensemble</x:v>
      </x:c>
    </x:row>
    <x:row r="493" ht="15" hidden="0" customHeight="1">
      <x:c r="A493" s="60" t="n">
        <x:v>488</x:v>
      </x:c>
      <x:c r="B493" s="60" t="n">
        <x:v>8.92521675957004</x:v>
      </x:c>
      <x:c r="C493" s="60" t="n">
        <x:v>5.891694981842616</x:v>
      </x:c>
      <x:c r="D493" s="60" t="n">
        <x:v>5.160835731735348</x:v>
      </x:c>
      <x:c r="E493" s="60" t="n">
        <x:v>3.0334225546436593</x:v>
      </x:c>
      <x:c r="F493" s="60" t="n">
        <x:v>6.388829972208336</x:v>
      </x:c>
      <x:c r="G493" s="60" t="n">
        <x:v>5.880000000000001</x:v>
      </x:c>
      <x:c r="H493" s="57" t="str">
        <x:v>modeled_latent_ensemble</x:v>
      </x:c>
    </x:row>
    <x:row r="494" ht="15" hidden="0" customHeight="1">
      <x:c r="A494" s="59" t="n">
        <x:v>489</x:v>
      </x:c>
      <x:c r="B494" s="59" t="n">
        <x:v>8.965785136765682</x:v>
      </x:c>
      <x:c r="C494" s="59" t="n">
        <x:v>5.960600970966718</x:v>
      </x:c>
      <x:c r="D494" s="59" t="n">
        <x:v>4.954253526237004</x:v>
      </x:c>
      <x:c r="E494" s="59" t="n">
        <x:v>3.2677333043292216</x:v>
      </x:c>
      <x:c r="F494" s="59" t="n">
        <x:v>6.251627061701376</x:v>
      </x:c>
      <x:c r="G494" s="59" t="n">
        <x:v>5.88</x:v>
      </x:c>
      <x:c r="H494" s="58" t="str">
        <x:v>modeled_latent_ensemble</x:v>
      </x:c>
    </x:row>
    <x:row r="495" ht="15" hidden="0" customHeight="1">
      <x:c r="A495" s="60" t="n">
        <x:v>490</x:v>
      </x:c>
      <x:c r="B495" s="60" t="n">
        <x:v>8.74020383162024</x:v>
      </x:c>
      <x:c r="C495" s="60" t="n">
        <x:v>5.94664739551254</x:v>
      </x:c>
      <x:c r="D495" s="60" t="n">
        <x:v>5.140504953450269</x:v>
      </x:c>
      <x:c r="E495" s="60" t="n">
        <x:v>3.2862754434127</x:v>
      </x:c>
      <x:c r="F495" s="60" t="n">
        <x:v>6.286368376004252</x:v>
      </x:c>
      <x:c r="G495" s="60" t="n">
        <x:v>5.880000000000001</x:v>
      </x:c>
      <x:c r="H495" s="57" t="str">
        <x:v>modeled_latent_ensemble</x:v>
      </x:c>
    </x:row>
    <x:row r="496" ht="15" hidden="0" customHeight="1">
      <x:c r="A496" s="59" t="n">
        <x:v>491</x:v>
      </x:c>
      <x:c r="B496" s="59" t="n">
        <x:v>8.958912670306587</x:v>
      </x:c>
      <x:c r="C496" s="59" t="n">
        <x:v>6.054192092423785</x:v>
      </x:c>
      <x:c r="D496" s="59" t="n">
        <x:v>5.062437587179683</x:v>
      </x:c>
      <x:c r="E496" s="59" t="n">
        <x:v>2.7595762676684035</x:v>
      </x:c>
      <x:c r="F496" s="59" t="n">
        <x:v>6.564881382421544</x:v>
      </x:c>
      <x:c r="G496" s="59" t="n">
        <x:v>5.880000000000001</x:v>
      </x:c>
      <x:c r="H496" s="58" t="str">
        <x:v>modeled_latent_ensemble</x:v>
      </x:c>
    </x:row>
    <x:row r="497" ht="15" hidden="0" customHeight="1">
      <x:c r="A497" s="60" t="n">
        <x:v>492</x:v>
      </x:c>
      <x:c r="B497" s="60" t="n">
        <x:v>8.759799753870938</x:v>
      </x:c>
      <x:c r="C497" s="60" t="n">
        <x:v>5.980960992799137</x:v>
      </x:c>
      <x:c r="D497" s="60" t="n">
        <x:v>4.9519220192074425</x:v>
      </x:c>
      <x:c r="E497" s="60" t="n">
        <x:v>3.139903934317527</x:v>
      </x:c>
      <x:c r="F497" s="60" t="n">
        <x:v>6.567413299804958</x:v>
      </x:c>
      <x:c r="G497" s="60" t="n">
        <x:v>5.880000000000001</x:v>
      </x:c>
      <x:c r="H497" s="57" t="str">
        <x:v>modeled_latent_ensemble</x:v>
      </x:c>
    </x:row>
    <x:row r="498" ht="15" hidden="0" customHeight="1">
      <x:c r="A498" s="59" t="n">
        <x:v>493</x:v>
      </x:c>
      <x:c r="B498" s="59" t="n">
        <x:v>8.734223000442894</x:v>
      </x:c>
      <x:c r="C498" s="59" t="n">
        <x:v>5.980963433318884</x:v>
      </x:c>
      <x:c r="D498" s="59" t="n">
        <x:v>5.063356359891436</x:v>
      </x:c>
      <x:c r="E498" s="59" t="n">
        <x:v>3.205749193889771</x:v>
      </x:c>
      <x:c r="F498" s="59" t="n">
        <x:v>6.415708012457016</x:v>
      </x:c>
      <x:c r="G498" s="59" t="n">
        <x:v>5.880000000000001</x:v>
      </x:c>
      <x:c r="H498" s="58" t="str">
        <x:v>modeled_latent_ensemble</x:v>
      </x:c>
    </x:row>
    <x:row r="499" ht="15" hidden="0" customHeight="1">
      <x:c r="A499" s="60" t="n">
        <x:v>494</x:v>
      </x:c>
      <x:c r="B499" s="60" t="n">
        <x:v>8.823303659868676</x:v>
      </x:c>
      <x:c r="C499" s="60" t="n">
        <x:v>5.932967575151776</x:v>
      </x:c>
      <x:c r="D499" s="60" t="n">
        <x:v>5.073855260807558</x:v>
      </x:c>
      <x:c r="E499" s="60" t="n">
        <x:v>3.171938220966793</x:v>
      </x:c>
      <x:c r="F499" s="60" t="n">
        <x:v>6.397935283205199</x:v>
      </x:c>
      <x:c r="G499" s="60" t="n">
        <x:v>5.880000000000001</x:v>
      </x:c>
      <x:c r="H499" s="57" t="str">
        <x:v>modeled_latent_ensemble</x:v>
      </x:c>
    </x:row>
    <x:row r="500" ht="15" hidden="0" customHeight="1">
      <x:c r="A500" s="59" t="n">
        <x:v>495</x:v>
      </x:c>
      <x:c r="B500" s="59" t="n">
        <x:v>8.880204914307413</x:v>
      </x:c>
      <x:c r="C500" s="59" t="n">
        <x:v>6.119691076632958</x:v>
      </x:c>
      <x:c r="D500" s="59" t="n">
        <x:v>5.054816134257377</x:v>
      </x:c>
      <x:c r="E500" s="59" t="n">
        <x:v>2.8514456550890896</x:v>
      </x:c>
      <x:c r="F500" s="59" t="n">
        <x:v>6.493842219713162</x:v>
      </x:c>
      <x:c r="G500" s="59" t="n">
        <x:v>5.88</x:v>
      </x:c>
      <x:c r="H500" s="58" t="str">
        <x:v>modeled_latent_ensemble</x:v>
      </x:c>
    </x:row>
    <x:row r="501" ht="15" hidden="0" customHeight="1">
      <x:c r="A501" s="60" t="n">
        <x:v>496</x:v>
      </x:c>
      <x:c r="B501" s="60" t="n">
        <x:v>8.917771514319236</x:v>
      </x:c>
      <x:c r="C501" s="60" t="n">
        <x:v>5.99334127302033</x:v>
      </x:c>
      <x:c r="D501" s="60" t="n">
        <x:v>5.125278471564793</x:v>
      </x:c>
      <x:c r="E501" s="60" t="n">
        <x:v>3.0084638433726996</x:v>
      </x:c>
      <x:c r="F501" s="60" t="n">
        <x:v>6.355144897722942</x:v>
      </x:c>
      <x:c r="G501" s="60" t="n">
        <x:v>5.88</x:v>
      </x:c>
      <x:c r="H501" s="57" t="str">
        <x:v>modeled_latent_ensemble</x:v>
      </x:c>
    </x:row>
    <x:row r="502" ht="15" hidden="0" customHeight="1">
      <x:c r="A502" s="59" t="n">
        <x:v>497</x:v>
      </x:c>
      <x:c r="B502" s="59" t="n">
        <x:v>8.778014876247173</x:v>
      </x:c>
      <x:c r="C502" s="59" t="n">
        <x:v>6.198639813570388</x:v>
      </x:c>
      <x:c r="D502" s="59" t="n">
        <x:v>4.967929202500229</x:v>
      </x:c>
      <x:c r="E502" s="59" t="n">
        <x:v>3.05350461449003</x:v>
      </x:c>
      <x:c r="F502" s="59" t="n">
        <x:v>6.401911493192181</x:v>
      </x:c>
      <x:c r="G502" s="59" t="n">
        <x:v>5.880000000000001</x:v>
      </x:c>
      <x:c r="H502" s="58" t="str">
        <x:v>modeled_latent_ensemble</x:v>
      </x:c>
    </x:row>
    <x:row r="503" ht="15" hidden="0" customHeight="1">
      <x:c r="A503" s="60" t="n">
        <x:v>498</x:v>
      </x:c>
      <x:c r="B503" s="60" t="n">
        <x:v>8.844317698111277</x:v>
      </x:c>
      <x:c r="C503" s="60" t="n">
        <x:v>6.046917567444844</x:v>
      </x:c>
      <x:c r="D503" s="60" t="n">
        <x:v>5.305752673760551</x:v>
      </x:c>
      <x:c r="E503" s="60" t="n">
        <x:v>2.957878568648249</x:v>
      </x:c>
      <x:c r="F503" s="60" t="n">
        <x:v>6.24513349203508</x:v>
      </x:c>
      <x:c r="G503" s="60" t="n">
        <x:v>5.88</x:v>
      </x:c>
      <x:c r="H503" s="57" t="str">
        <x:v>modeled_latent_ensemble</x:v>
      </x:c>
    </x:row>
    <x:row r="504" ht="15" hidden="0" customHeight="1">
      <x:c r="A504" s="59" t="n">
        <x:v>499</x:v>
      </x:c>
      <x:c r="B504" s="59" t="n">
        <x:v>9.01074698302012</x:v>
      </x:c>
      <x:c r="C504" s="59" t="n">
        <x:v>6.0755197021298315</x:v>
      </x:c>
      <x:c r="D504" s="59" t="n">
        <x:v>5.271534062220721</x:v>
      </x:c>
      <x:c r="E504" s="59" t="n">
        <x:v>2.405025331456494</x:v>
      </x:c>
      <x:c r="F504" s="59" t="n">
        <x:v>6.637173921172835</x:v>
      </x:c>
      <x:c r="G504" s="59" t="n">
        <x:v>5.88</x:v>
      </x:c>
      <x:c r="H504" s="58" t="str">
        <x:v>modeled_latent_ensemble</x:v>
      </x:c>
    </x:row>
    <x:row r="505" ht="15" hidden="0" customHeight="1">
      <x:c r="A505" s="60" t="n">
        <x:v>500</x:v>
      </x:c>
      <x:c r="B505" s="60" t="n">
        <x:v>8.851461557181008</x:v>
      </x:c>
      <x:c r="C505" s="60" t="n">
        <x:v>5.996080488520373</x:v>
      </x:c>
      <x:c r="D505" s="60" t="n">
        <x:v>5.036249338371132</x:v>
      </x:c>
      <x:c r="E505" s="60" t="n">
        <x:v>3.2833411435034097</x:v>
      </x:c>
      <x:c r="F505" s="60" t="n">
        <x:v>6.232867472424079</x:v>
      </x:c>
      <x:c r="G505" s="60" t="n">
        <x:v>5.880000000000001</x:v>
      </x:c>
      <x:c r="H505" s="57" t="str">
        <x:v>modeled_latent_ensemble</x:v>
      </x:c>
    </x:row>
  </x:sheetData>
  <x:mergeCells>
    <x:mergeCell ref="A1:H1"/>
    <x:mergeCell ref="A2:H2"/>
  </x:mergeCells>
  <x:pageMargins left="0.7" right="0.7" top="0.75" bottom="0.75" header="0.3" footer="0.3"/>
  <x:tableParts count="1">
    <x:tablePart xmlns:r="http://schemas.openxmlformats.org/officeDocument/2006/relationships" r:id="Rb3b4d758c1fe44f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44" hidden="0" customWidth="1"/>
    <x:col min="3" max="3" width="26" hidden="0" customWidth="1"/>
    <x:col min="4" max="4" width="26" hidden="0" customWidth="1"/>
    <x:col min="5" max="5" width="26" hidden="0" customWidth="1"/>
    <x:col min="6" max="6" width="26" hidden="0" customWidth="1"/>
    <x:col min="7" max="7" width="26" hidden="0" customWidth="1"/>
    <x:col min="8" max="8" width="26" hidden="0" customWidth="1"/>
    <x:col min="9" max="9" width="26" hidden="0" customWidth="1"/>
    <x:col min="10" max="10" width="26" hidden="0" customWidth="1"/>
    <x:col min="11" max="11" width="26" hidden="0" customWidth="1"/>
    <x:col min="12" max="12" width="26" hidden="0" customWidth="1"/>
  </x:cols>
  <x:sheetData>
    <x:row r="1" ht="19.200000762939453" hidden="0" customHeight="1">
      <x:c r="A1" s="3" t="str">
        <x:v>Trayectorias centrales 2025–2030</x:v>
      </x:c>
      <x:c r="B1" s="3" t="str">
        <x:v>Trayectorias centrales 2025–2030</x:v>
      </x:c>
      <x:c r="C1" s="3" t="str">
        <x:v>Trayectorias centrales 2025–2030</x:v>
      </x:c>
      <x:c r="D1" s="3" t="str">
        <x:v>Trayectorias centrales 2025–2030</x:v>
      </x:c>
      <x:c r="E1" s="3" t="str">
        <x:v>Trayectorias centrales 2025–2030</x:v>
      </x:c>
      <x:c r="F1" s="3" t="str">
        <x:v>Trayectorias centrales 2025–2030</x:v>
      </x:c>
      <x:c r="G1" s="3" t="str">
        <x:v>Trayectorias centrales 2025–2030</x:v>
      </x:c>
      <x:c r="H1" s="3" t="str">
        <x:v>Trayectorias centrales 2025–2030</x:v>
      </x:c>
      <x:c r="I1" s="3" t="str">
        <x:v>Trayectorias centrales 2025–2030</x:v>
      </x:c>
      <x:c r="J1" s="3" t="str">
        <x:v>Trayectorias centrales 2025–2030</x:v>
      </x:c>
      <x:c r="K1" s="3" t="str">
        <x:v>Trayectorias centrales 2025–2030</x:v>
      </x:c>
      <x:c r="L1" s="3" t="str">
        <x:v>Trayectorias centrales 2025–2030</x:v>
      </x:c>
    </x:row>
    <x:row r="2" ht="15" hidden="0" customHeight="1">
      <x:c r="A2" s="7" t="str">
        <x:v>Tres escenarios analíticos. Los valores posteriores a 2025 son simulados y no constituyen pronósticos puntuales ni probabilidades de ocurrencia.</x:v>
      </x:c>
      <x:c r="B2" s="7" t="str">
        <x:v>Tres escenarios analíticos. Los valores posteriores a 2025 son simulados y no constituyen pronósticos puntuales ni probabilidades de ocurrencia.</x:v>
      </x:c>
      <x:c r="C2" s="7" t="str">
        <x:v>Tres escenarios analíticos. Los valores posteriores a 2025 son simulados y no constituyen pronósticos puntuales ni probabilidades de ocurrencia.</x:v>
      </x:c>
      <x:c r="D2" s="7" t="str">
        <x:v>Tres escenarios analíticos. Los valores posteriores a 2025 son simulados y no constituyen pronósticos puntuales ni probabilidades de ocurrencia.</x:v>
      </x:c>
      <x:c r="E2" s="7" t="str">
        <x:v>Tres escenarios analíticos. Los valores posteriores a 2025 son simulados y no constituyen pronósticos puntuales ni probabilidades de ocurrencia.</x:v>
      </x:c>
      <x:c r="F2" s="7" t="str">
        <x:v>Tres escenarios analíticos. Los valores posteriores a 2025 son simulados y no constituyen pronósticos puntuales ni probabilidades de ocurrencia.</x:v>
      </x:c>
      <x:c r="G2" s="7" t="str">
        <x:v>Tres escenarios analíticos. Los valores posteriores a 2025 son simulados y no constituyen pronósticos puntuales ni probabilidades de ocurrencia.</x:v>
      </x:c>
      <x:c r="H2" s="7" t="str">
        <x:v>Tres escenarios analíticos. Los valores posteriores a 2025 son simulados y no constituyen pronósticos puntuales ni probabilidades de ocurrencia.</x:v>
      </x:c>
      <x:c r="I2" s="7" t="str">
        <x:v>Tres escenarios analíticos. Los valores posteriores a 2025 son simulados y no constituyen pronósticos puntuales ni probabilidades de ocurrencia.</x:v>
      </x:c>
      <x:c r="J2" s="7" t="str">
        <x:v>Tres escenarios analíticos. Los valores posteriores a 2025 son simulados y no constituyen pronósticos puntuales ni probabilidades de ocurrencia.</x:v>
      </x:c>
      <x:c r="K2" s="7" t="str">
        <x:v>Tres escenarios analíticos. Los valores posteriores a 2025 son simulados y no constituyen pronósticos puntuales ni probabilidades de ocurrencia.</x:v>
      </x:c>
      <x:c r="L2" s="7" t="str">
        <x:v>Tres escenarios analíticos. Los valores posteriores a 2025 son simulados y no constituyen pronósticos puntuales ni probabilidades de ocurrencia.</x:v>
      </x:c>
    </x:row>
    <x:row r="3" ht="15" hidden="0" customHeight="1">
      <x:c r="A3" s="8"/>
      <x:c r="B3" s="8"/>
      <x:c r="C3" s="8"/>
      <x:c r="D3" s="8"/>
      <x:c r="E3" s="8"/>
      <x:c r="F3" s="8"/>
      <x:c r="G3" s="8"/>
      <x:c r="H3" s="8"/>
      <x:c r="I3" s="8"/>
      <x:c r="J3" s="8"/>
      <x:c r="K3" s="8"/>
      <x:c r="L3" s="8"/>
    </x:row>
    <x:row r="4"/>
    <x:row r="5" ht="15" hidden="0" customHeight="1">
      <x:c r="A5" s="14" t="str">
        <x:v>scenario_id</x:v>
      </x:c>
      <x:c r="B5" s="14" t="str">
        <x:v>scenario_name</x:v>
      </x:c>
      <x:c r="C5" s="14" t="str">
        <x:v>year</x:v>
      </x:c>
      <x:c r="D5" s="14" t="str">
        <x:v>Proceso electoral y pluralismo</x:v>
      </x:c>
      <x:c r="E5" s="14" t="str">
        <x:v>Funcionamiento del gobierno</x:v>
      </x:c>
      <x:c r="F5" s="14" t="str">
        <x:v>Participación política</x:v>
      </x:c>
      <x:c r="G5" s="14" t="str">
        <x:v>Cultura política</x:v>
      </x:c>
      <x:c r="H5" s="14" t="str">
        <x:v>Libertades civiles</x:v>
      </x:c>
      <x:c r="I5" s="14" t="str">
        <x:v>overall_score</x:v>
      </x:c>
      <x:c r="J5" s="14" t="str">
        <x:v>phase</x:v>
      </x:c>
      <x:c r="K5" s="14" t="str">
        <x:v>data_status</x:v>
      </x:c>
      <x:c r="L5" s="14" t="str">
        <x:v>regime_type</x:v>
      </x:c>
    </x:row>
    <x:row r="6" ht="15" hidden="0" customHeight="1">
      <x:c r="A6" s="58" t="str">
        <x:v>recuperacion_institucional</x:v>
      </x:c>
      <x:c r="B6" s="58" t="str">
        <x:v>Recuperación institucional y gobernabilidad negociada</x:v>
      </x:c>
      <x:c r="C6" s="59" t="n">
        <x:v>2025</x:v>
      </x:c>
      <x:c r="D6" s="59" t="n">
        <x:v>8.88</x:v>
      </x:c>
      <x:c r="E6" s="59" t="n">
        <x:v>6.03</x:v>
      </x:c>
      <x:c r="F6" s="59" t="n">
        <x:v>5.07</x:v>
      </x:c>
      <x:c r="G6" s="59" t="n">
        <x:v>3</x:v>
      </x:c>
      <x:c r="H6" s="59" t="n">
        <x:v>6.42</x:v>
      </x:c>
      <x:c r="I6" s="59" t="n">
        <x:v>5.88</x:v>
      </x:c>
      <x:c r="J6" s="58" t="str">
        <x:v>modeled_latent_central</x:v>
      </x:c>
      <x:c r="K6" s="58" t="str">
        <x:v>modeled_latent_central</x:v>
      </x:c>
      <x:c r="L6" s="58" t="str">
        <x:v>Hybrid regime</x:v>
      </x:c>
    </x:row>
    <x:row r="7" ht="15" hidden="0" customHeight="1">
      <x:c r="A7" s="57" t="str">
        <x:v>recuperacion_institucional</x:v>
      </x:c>
      <x:c r="B7" s="57" t="str">
        <x:v>Recuperación institucional y gobernabilidad negociada</x:v>
      </x:c>
      <x:c r="C7" s="60" t="n">
        <x:v>2026</x:v>
      </x:c>
      <x:c r="D7" s="60" t="n">
        <x:v>9</x:v>
      </x:c>
      <x:c r="E7" s="60" t="n">
        <x:v>6.15</x:v>
      </x:c>
      <x:c r="F7" s="60" t="n">
        <x:v>5.15</x:v>
      </x:c>
      <x:c r="G7" s="60" t="n">
        <x:v>3.15</x:v>
      </x:c>
      <x:c r="H7" s="60" t="n">
        <x:v>6.47</x:v>
      </x:c>
      <x:c r="I7" s="60" t="n">
        <x:v>5.984</x:v>
      </x:c>
      <x:c r="J7" s="57" t="str">
        <x:v>post_election_shock</x:v>
      </x:c>
      <x:c r="K7" s="57" t="str">
        <x:v>simulated_scenario</x:v>
      </x:c>
      <x:c r="L7" s="57" t="str">
        <x:v>Hybrid regime</x:v>
      </x:c>
    </x:row>
    <x:row r="8" ht="15" hidden="0" customHeight="1">
      <x:c r="A8" s="58" t="str">
        <x:v>recuperacion_institucional</x:v>
      </x:c>
      <x:c r="B8" s="58" t="str">
        <x:v>Recuperación institucional y gobernabilidad negociada</x:v>
      </x:c>
      <x:c r="C8" s="59" t="n">
        <x:v>2027</x:v>
      </x:c>
      <x:c r="D8" s="59" t="n">
        <x:v>9.04</x:v>
      </x:c>
      <x:c r="E8" s="59" t="n">
        <x:v>6.25</x:v>
      </x:c>
      <x:c r="F8" s="59" t="n">
        <x:v>5.21</x:v>
      </x:c>
      <x:c r="G8" s="59" t="n">
        <x:v>3.25</x:v>
      </x:c>
      <x:c r="H8" s="59" t="n">
        <x:v>6.52</x:v>
      </x:c>
      <x:c r="I8" s="59" t="n">
        <x:v>6.054</x:v>
      </x:c>
      <x:c r="J8" s="58" t="str">
        <x:v>structural_projection</x:v>
      </x:c>
      <x:c r="K8" s="58" t="str">
        <x:v>simulated_scenario</x:v>
      </x:c>
      <x:c r="L8" s="58" t="str">
        <x:v>Flawed democracy</x:v>
      </x:c>
    </x:row>
    <x:row r="9" ht="15" hidden="0" customHeight="1">
      <x:c r="A9" s="57" t="str">
        <x:v>recuperacion_institucional</x:v>
      </x:c>
      <x:c r="B9" s="57" t="str">
        <x:v>Recuperación institucional y gobernabilidad negociada</x:v>
      </x:c>
      <x:c r="C9" s="60" t="n">
        <x:v>2028</x:v>
      </x:c>
      <x:c r="D9" s="60" t="n">
        <x:v>9.076</x:v>
      </x:c>
      <x:c r="E9" s="60" t="n">
        <x:v>6.34</x:v>
      </x:c>
      <x:c r="F9" s="60" t="n">
        <x:v>5.264</x:v>
      </x:c>
      <x:c r="G9" s="60" t="n">
        <x:v>3.34</x:v>
      </x:c>
      <x:c r="H9" s="60" t="n">
        <x:v>6.565</x:v>
      </x:c>
      <x:c r="I9" s="60" t="n">
        <x:v>6.117</x:v>
      </x:c>
      <x:c r="J9" s="57" t="str">
        <x:v>structural_projection</x:v>
      </x:c>
      <x:c r="K9" s="57" t="str">
        <x:v>simulated_scenario</x:v>
      </x:c>
      <x:c r="L9" s="57" t="str">
        <x:v>Flawed democracy</x:v>
      </x:c>
    </x:row>
    <x:row r="10" ht="15" hidden="0" customHeight="1">
      <x:c r="A10" s="58" t="str">
        <x:v>recuperacion_institucional</x:v>
      </x:c>
      <x:c r="B10" s="58" t="str">
        <x:v>Recuperación institucional y gobernabilidad negociada</x:v>
      </x:c>
      <x:c r="C10" s="59" t="n">
        <x:v>2029</x:v>
      </x:c>
      <x:c r="D10" s="59" t="n">
        <x:v>9.108</x:v>
      </x:c>
      <x:c r="E10" s="59" t="n">
        <x:v>6.42</x:v>
      </x:c>
      <x:c r="F10" s="59" t="n">
        <x:v>5.312</x:v>
      </x:c>
      <x:c r="G10" s="59" t="n">
        <x:v>3.42</x:v>
      </x:c>
      <x:c r="H10" s="59" t="n">
        <x:v>6.605</x:v>
      </x:c>
      <x:c r="I10" s="59" t="n">
        <x:v>6.173</x:v>
      </x:c>
      <x:c r="J10" s="58" t="str">
        <x:v>structural_projection</x:v>
      </x:c>
      <x:c r="K10" s="58" t="str">
        <x:v>simulated_scenario</x:v>
      </x:c>
      <x:c r="L10" s="58" t="str">
        <x:v>Flawed democracy</x:v>
      </x:c>
    </x:row>
    <x:row r="11" ht="15" hidden="0" customHeight="1">
      <x:c r="A11" s="57" t="str">
        <x:v>recuperacion_institucional</x:v>
      </x:c>
      <x:c r="B11" s="57" t="str">
        <x:v>Recuperación institucional y gobernabilidad negociada</x:v>
      </x:c>
      <x:c r="C11" s="60" t="n">
        <x:v>2030</x:v>
      </x:c>
      <x:c r="D11" s="60" t="n">
        <x:v>9.136</x:v>
      </x:c>
      <x:c r="E11" s="60" t="n">
        <x:v>6.49</x:v>
      </x:c>
      <x:c r="F11" s="60" t="n">
        <x:v>5.354</x:v>
      </x:c>
      <x:c r="G11" s="60" t="n">
        <x:v>3.49</x:v>
      </x:c>
      <x:c r="H11" s="60" t="n">
        <x:v>6.64</x:v>
      </x:c>
      <x:c r="I11" s="60" t="n">
        <x:v>6.222</x:v>
      </x:c>
      <x:c r="J11" s="57" t="str">
        <x:v>structural_projection</x:v>
      </x:c>
      <x:c r="K11" s="57" t="str">
        <x:v>simulated_scenario</x:v>
      </x:c>
      <x:c r="L11" s="57" t="str">
        <x:v>Flawed democracy</x:v>
      </x:c>
    </x:row>
    <x:row r="12" ht="15" hidden="0" customHeight="1">
      <x:c r="A12" s="58" t="str">
        <x:v>continuidad_hibrida</x:v>
      </x:c>
      <x:c r="B12" s="58" t="str">
        <x:v>Continuidad híbrida y estabilización competitiva</x:v>
      </x:c>
      <x:c r="C12" s="59" t="n">
        <x:v>2025</x:v>
      </x:c>
      <x:c r="D12" s="59" t="n">
        <x:v>8.88</x:v>
      </x:c>
      <x:c r="E12" s="59" t="n">
        <x:v>6.03</x:v>
      </x:c>
      <x:c r="F12" s="59" t="n">
        <x:v>5.07</x:v>
      </x:c>
      <x:c r="G12" s="59" t="n">
        <x:v>3</x:v>
      </x:c>
      <x:c r="H12" s="59" t="n">
        <x:v>6.42</x:v>
      </x:c>
      <x:c r="I12" s="59" t="n">
        <x:v>5.88</x:v>
      </x:c>
      <x:c r="J12" s="58" t="str">
        <x:v>modeled_latent_central</x:v>
      </x:c>
      <x:c r="K12" s="58" t="str">
        <x:v>modeled_latent_central</x:v>
      </x:c>
      <x:c r="L12" s="58" t="str">
        <x:v>Hybrid regime</x:v>
      </x:c>
    </x:row>
    <x:row r="13" ht="15" hidden="0" customHeight="1">
      <x:c r="A13" s="57" t="str">
        <x:v>continuidad_hibrida</x:v>
      </x:c>
      <x:c r="B13" s="57" t="str">
        <x:v>Continuidad híbrida y estabilización competitiva</x:v>
      </x:c>
      <x:c r="C13" s="60" t="n">
        <x:v>2026</x:v>
      </x:c>
      <x:c r="D13" s="60" t="n">
        <x:v>8.96</x:v>
      </x:c>
      <x:c r="E13" s="60" t="n">
        <x:v>5.97</x:v>
      </x:c>
      <x:c r="F13" s="60" t="n">
        <x:v>5.13</x:v>
      </x:c>
      <x:c r="G13" s="60" t="n">
        <x:v>2.9</x:v>
      </x:c>
      <x:c r="H13" s="60" t="n">
        <x:v>6.34</x:v>
      </x:c>
      <x:c r="I13" s="60" t="n">
        <x:v>5.86</x:v>
      </x:c>
      <x:c r="J13" s="57" t="str">
        <x:v>post_election_shock</x:v>
      </x:c>
      <x:c r="K13" s="57" t="str">
        <x:v>simulated_scenario</x:v>
      </x:c>
      <x:c r="L13" s="57" t="str">
        <x:v>Hybrid regime</x:v>
      </x:c>
    </x:row>
    <x:row r="14" ht="15" hidden="0" customHeight="1">
      <x:c r="A14" s="58" t="str">
        <x:v>continuidad_hibrida</x:v>
      </x:c>
      <x:c r="B14" s="58" t="str">
        <x:v>Continuidad híbrida y estabilización competitiva</x:v>
      </x:c>
      <x:c r="C14" s="59" t="n">
        <x:v>2027</x:v>
      </x:c>
      <x:c r="D14" s="59" t="n">
        <x:v>8.96</x:v>
      </x:c>
      <x:c r="E14" s="59" t="n">
        <x:v>5.98</x:v>
      </x:c>
      <x:c r="F14" s="59" t="n">
        <x:v>5.15</x:v>
      </x:c>
      <x:c r="G14" s="59" t="n">
        <x:v>2.9</x:v>
      </x:c>
      <x:c r="H14" s="59" t="n">
        <x:v>6.33</x:v>
      </x:c>
      <x:c r="I14" s="59" t="n">
        <x:v>5.864</x:v>
      </x:c>
      <x:c r="J14" s="58" t="str">
        <x:v>structural_projection</x:v>
      </x:c>
      <x:c r="K14" s="58" t="str">
        <x:v>simulated_scenario</x:v>
      </x:c>
      <x:c r="L14" s="58" t="str">
        <x:v>Hybrid regime</x:v>
      </x:c>
    </x:row>
    <x:row r="15" ht="15" hidden="0" customHeight="1">
      <x:c r="A15" s="57" t="str">
        <x:v>continuidad_hibrida</x:v>
      </x:c>
      <x:c r="B15" s="57" t="str">
        <x:v>Continuidad híbrida y estabilización competitiva</x:v>
      </x:c>
      <x:c r="C15" s="60" t="n">
        <x:v>2028</x:v>
      </x:c>
      <x:c r="D15" s="60" t="n">
        <x:v>8.96</x:v>
      </x:c>
      <x:c r="E15" s="60" t="n">
        <x:v>5.989</x:v>
      </x:c>
      <x:c r="F15" s="60" t="n">
        <x:v>5.168</x:v>
      </x:c>
      <x:c r="G15" s="60" t="n">
        <x:v>2.9</x:v>
      </x:c>
      <x:c r="H15" s="60" t="n">
        <x:v>6.321</x:v>
      </x:c>
      <x:c r="I15" s="60" t="n">
        <x:v>5.868</x:v>
      </x:c>
      <x:c r="J15" s="57" t="str">
        <x:v>structural_projection</x:v>
      </x:c>
      <x:c r="K15" s="57" t="str">
        <x:v>simulated_scenario</x:v>
      </x:c>
      <x:c r="L15" s="57" t="str">
        <x:v>Hybrid regime</x:v>
      </x:c>
    </x:row>
    <x:row r="16" ht="15" hidden="0" customHeight="1">
      <x:c r="A16" s="58" t="str">
        <x:v>continuidad_hibrida</x:v>
      </x:c>
      <x:c r="B16" s="58" t="str">
        <x:v>Continuidad híbrida y estabilización competitiva</x:v>
      </x:c>
      <x:c r="C16" s="59" t="n">
        <x:v>2029</x:v>
      </x:c>
      <x:c r="D16" s="59" t="n">
        <x:v>8.96</x:v>
      </x:c>
      <x:c r="E16" s="59" t="n">
        <x:v>5.997</x:v>
      </x:c>
      <x:c r="F16" s="59" t="n">
        <x:v>5.184</x:v>
      </x:c>
      <x:c r="G16" s="59" t="n">
        <x:v>2.9</x:v>
      </x:c>
      <x:c r="H16" s="59" t="n">
        <x:v>6.313</x:v>
      </x:c>
      <x:c r="I16" s="59" t="n">
        <x:v>5.871</x:v>
      </x:c>
      <x:c r="J16" s="58" t="str">
        <x:v>structural_projection</x:v>
      </x:c>
      <x:c r="K16" s="58" t="str">
        <x:v>simulated_scenario</x:v>
      </x:c>
      <x:c r="L16" s="58" t="str">
        <x:v>Hybrid regime</x:v>
      </x:c>
    </x:row>
    <x:row r="17" ht="15" hidden="0" customHeight="1">
      <x:c r="A17" s="57" t="str">
        <x:v>continuidad_hibrida</x:v>
      </x:c>
      <x:c r="B17" s="57" t="str">
        <x:v>Continuidad híbrida y estabilización competitiva</x:v>
      </x:c>
      <x:c r="C17" s="60" t="n">
        <x:v>2030</x:v>
      </x:c>
      <x:c r="D17" s="60" t="n">
        <x:v>8.96</x:v>
      </x:c>
      <x:c r="E17" s="60" t="n">
        <x:v>6.004</x:v>
      </x:c>
      <x:c r="F17" s="60" t="n">
        <x:v>5.198</x:v>
      </x:c>
      <x:c r="G17" s="60" t="n">
        <x:v>2.9</x:v>
      </x:c>
      <x:c r="H17" s="60" t="n">
        <x:v>6.306</x:v>
      </x:c>
      <x:c r="I17" s="60" t="n">
        <x:v>5.874</x:v>
      </x:c>
      <x:c r="J17" s="57" t="str">
        <x:v>structural_projection</x:v>
      </x:c>
      <x:c r="K17" s="57" t="str">
        <x:v>simulated_scenario</x:v>
      </x:c>
      <x:c r="L17" s="57" t="str">
        <x:v>Hybrid regime</x:v>
      </x:c>
    </x:row>
    <x:row r="18" ht="15" hidden="0" customHeight="1">
      <x:c r="A18" s="58" t="str">
        <x:v>deriva_restrictiva</x:v>
      </x:c>
      <x:c r="B18" s="58" t="str">
        <x:v>Deriva restrictiva y securitización</x:v>
      </x:c>
      <x:c r="C18" s="59" t="n">
        <x:v>2025</x:v>
      </x:c>
      <x:c r="D18" s="59" t="n">
        <x:v>8.88</x:v>
      </x:c>
      <x:c r="E18" s="59" t="n">
        <x:v>6.03</x:v>
      </x:c>
      <x:c r="F18" s="59" t="n">
        <x:v>5.07</x:v>
      </x:c>
      <x:c r="G18" s="59" t="n">
        <x:v>3</x:v>
      </x:c>
      <x:c r="H18" s="59" t="n">
        <x:v>6.42</x:v>
      </x:c>
      <x:c r="I18" s="59" t="n">
        <x:v>5.88</x:v>
      </x:c>
      <x:c r="J18" s="58" t="str">
        <x:v>modeled_latent_central</x:v>
      </x:c>
      <x:c r="K18" s="58" t="str">
        <x:v>modeled_latent_central</x:v>
      </x:c>
      <x:c r="L18" s="58" t="str">
        <x:v>Hybrid regime</x:v>
      </x:c>
    </x:row>
    <x:row r="19" ht="15" hidden="0" customHeight="1">
      <x:c r="A19" s="57" t="str">
        <x:v>deriva_restrictiva</x:v>
      </x:c>
      <x:c r="B19" s="57" t="str">
        <x:v>Deriva restrictiva y securitización</x:v>
      </x:c>
      <x:c r="C19" s="60" t="n">
        <x:v>2026</x:v>
      </x:c>
      <x:c r="D19" s="60" t="n">
        <x:v>8.8</x:v>
      </x:c>
      <x:c r="E19" s="60" t="n">
        <x:v>5.83</x:v>
      </x:c>
      <x:c r="F19" s="60" t="n">
        <x:v>5.02</x:v>
      </x:c>
      <x:c r="G19" s="60" t="n">
        <x:v>2.75</x:v>
      </x:c>
      <x:c r="H19" s="60" t="n">
        <x:v>6.14</x:v>
      </x:c>
      <x:c r="I19" s="60" t="n">
        <x:v>5.708</x:v>
      </x:c>
      <x:c r="J19" s="57" t="str">
        <x:v>post_election_shock</x:v>
      </x:c>
      <x:c r="K19" s="57" t="str">
        <x:v>simulated_scenario</x:v>
      </x:c>
      <x:c r="L19" s="57" t="str">
        <x:v>Hybrid regime</x:v>
      </x:c>
    </x:row>
    <x:row r="20" ht="15" hidden="0" customHeight="1">
      <x:c r="A20" s="58" t="str">
        <x:v>deriva_restrictiva</x:v>
      </x:c>
      <x:c r="B20" s="58" t="str">
        <x:v>Deriva restrictiva y securitización</x:v>
      </x:c>
      <x:c r="C20" s="59" t="n">
        <x:v>2027</x:v>
      </x:c>
      <x:c r="D20" s="59" t="n">
        <x:v>8.76</x:v>
      </x:c>
      <x:c r="E20" s="59" t="n">
        <x:v>5.7</x:v>
      </x:c>
      <x:c r="F20" s="59" t="n">
        <x:v>4.95</x:v>
      </x:c>
      <x:c r="G20" s="59" t="n">
        <x:v>2.62</x:v>
      </x:c>
      <x:c r="H20" s="59" t="n">
        <x:v>5.98</x:v>
      </x:c>
      <x:c r="I20" s="59" t="n">
        <x:v>5.602</x:v>
      </x:c>
      <x:c r="J20" s="58" t="str">
        <x:v>structural_projection</x:v>
      </x:c>
      <x:c r="K20" s="58" t="str">
        <x:v>simulated_scenario</x:v>
      </x:c>
      <x:c r="L20" s="58" t="str">
        <x:v>Hybrid regime</x:v>
      </x:c>
    </x:row>
    <x:row r="21" ht="15" hidden="0" customHeight="1">
      <x:c r="A21" s="57" t="str">
        <x:v>deriva_restrictiva</x:v>
      </x:c>
      <x:c r="B21" s="57" t="str">
        <x:v>Deriva restrictiva y securitización</x:v>
      </x:c>
      <x:c r="C21" s="60" t="n">
        <x:v>2028</x:v>
      </x:c>
      <x:c r="D21" s="60" t="n">
        <x:v>8.724</x:v>
      </x:c>
      <x:c r="E21" s="60" t="n">
        <x:v>5.583</x:v>
      </x:c>
      <x:c r="F21" s="60" t="n">
        <x:v>4.887</x:v>
      </x:c>
      <x:c r="G21" s="60" t="n">
        <x:v>2.503</x:v>
      </x:c>
      <x:c r="H21" s="60" t="n">
        <x:v>5.836</x:v>
      </x:c>
      <x:c r="I21" s="60" t="n">
        <x:v>5.507</x:v>
      </x:c>
      <x:c r="J21" s="57" t="str">
        <x:v>structural_projection</x:v>
      </x:c>
      <x:c r="K21" s="57" t="str">
        <x:v>simulated_scenario</x:v>
      </x:c>
      <x:c r="L21" s="57" t="str">
        <x:v>Hybrid regime</x:v>
      </x:c>
    </x:row>
    <x:row r="22" ht="15" hidden="0" customHeight="1">
      <x:c r="A22" s="58" t="str">
        <x:v>deriva_restrictiva</x:v>
      </x:c>
      <x:c r="B22" s="58" t="str">
        <x:v>Deriva restrictiva y securitización</x:v>
      </x:c>
      <x:c r="C22" s="59" t="n">
        <x:v>2029</x:v>
      </x:c>
      <x:c r="D22" s="59" t="n">
        <x:v>8.692</x:v>
      </x:c>
      <x:c r="E22" s="59" t="n">
        <x:v>5.479</x:v>
      </x:c>
      <x:c r="F22" s="59" t="n">
        <x:v>4.831</x:v>
      </x:c>
      <x:c r="G22" s="59" t="n">
        <x:v>2.399</x:v>
      </x:c>
      <x:c r="H22" s="59" t="n">
        <x:v>5.708</x:v>
      </x:c>
      <x:c r="I22" s="59" t="n">
        <x:v>5.422</x:v>
      </x:c>
      <x:c r="J22" s="58" t="str">
        <x:v>structural_projection</x:v>
      </x:c>
      <x:c r="K22" s="58" t="str">
        <x:v>simulated_scenario</x:v>
      </x:c>
      <x:c r="L22" s="58" t="str">
        <x:v>Hybrid regime</x:v>
      </x:c>
    </x:row>
    <x:row r="23" ht="15" hidden="0" customHeight="1">
      <x:c r="A23" s="57" t="str">
        <x:v>deriva_restrictiva</x:v>
      </x:c>
      <x:c r="B23" s="57" t="str">
        <x:v>Deriva restrictiva y securitización</x:v>
      </x:c>
      <x:c r="C23" s="60" t="n">
        <x:v>2030</x:v>
      </x:c>
      <x:c r="D23" s="60" t="n">
        <x:v>8.664</x:v>
      </x:c>
      <x:c r="E23" s="60" t="n">
        <x:v>5.388</x:v>
      </x:c>
      <x:c r="F23" s="60" t="n">
        <x:v>4.782</x:v>
      </x:c>
      <x:c r="G23" s="60" t="n">
        <x:v>2.308</x:v>
      </x:c>
      <x:c r="H23" s="60" t="n">
        <x:v>5.596</x:v>
      </x:c>
      <x:c r="I23" s="60" t="n">
        <x:v>5.348</x:v>
      </x:c>
      <x:c r="J23" s="57" t="str">
        <x:v>structural_projection</x:v>
      </x:c>
      <x:c r="K23" s="57" t="str">
        <x:v>simulated_scenario</x:v>
      </x:c>
      <x:c r="L23" s="57" t="str">
        <x:v>Hybrid regime</x:v>
      </x:c>
    </x:row>
  </x:sheetData>
  <x:mergeCells>
    <x:mergeCell ref="A1:L1"/>
    <x:mergeCell ref="A2:L2"/>
  </x:mergeCells>
  <x:pageMargins left="0.7" right="0.7" top="0.75" bottom="0.75" header="0.3" footer="0.3"/>
  <x:tableParts count="1">
    <x:tablePart xmlns:r="http://schemas.openxmlformats.org/officeDocument/2006/relationships" r:id="R72fdfabc5dd341a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30" hidden="0" customWidth="1"/>
    <x:col min="4" max="4" width="44" hidden="0" customWidth="1"/>
    <x:col min="5" max="5" width="30" hidden="0" customWidth="1"/>
    <x:col min="6" max="6" width="30" hidden="0" customWidth="1"/>
    <x:col min="7" max="7" width="30" hidden="0" customWidth="1"/>
    <x:col min="8" max="8" width="44" hidden="0" customWidth="1"/>
    <x:col min="9" max="9" width="44" hidden="0" customWidth="1"/>
    <x:col min="10" max="10" width="30" hidden="0" customWidth="1"/>
    <x:col min="11" max="11" width="30" hidden="0" customWidth="1"/>
    <x:col min="12" max="12" width="30" hidden="0" customWidth="1"/>
    <x:col min="13" max="13" width="44" hidden="0" customWidth="1"/>
  </x:cols>
  <x:sheetData>
    <x:row r="1" ht="19.200000762939453" hidden="0" customHeight="1">
      <x:c r="A1" s="3" t="str">
        <x:v>Resumen de escenarios al 2030</x:v>
      </x:c>
      <x:c r="B1" s="3" t="str">
        <x:v>Resumen de escenarios al 2030</x:v>
      </x:c>
      <x:c r="C1" s="3" t="str">
        <x:v>Resumen de escenarios al 2030</x:v>
      </x:c>
      <x:c r="D1" s="3" t="str">
        <x:v>Resumen de escenarios al 2030</x:v>
      </x:c>
      <x:c r="E1" s="3" t="str">
        <x:v>Resumen de escenarios al 2030</x:v>
      </x:c>
      <x:c r="F1" s="3" t="str">
        <x:v>Resumen de escenarios al 2030</x:v>
      </x:c>
      <x:c r="G1" s="3" t="str">
        <x:v>Resumen de escenarios al 2030</x:v>
      </x:c>
      <x:c r="H1" s="3" t="str">
        <x:v>Resumen de escenarios al 2030</x:v>
      </x:c>
      <x:c r="I1" s="3" t="str">
        <x:v>Resumen de escenarios al 2030</x:v>
      </x:c>
      <x:c r="J1" s="3" t="str">
        <x:v>Resumen de escenarios al 2030</x:v>
      </x:c>
      <x:c r="K1" s="3" t="str">
        <x:v>Resumen de escenarios al 2030</x:v>
      </x:c>
      <x:c r="L1" s="3" t="str">
        <x:v>Resumen de escenarios al 2030</x:v>
      </x:c>
      <x:c r="M1" s="3" t="str">
        <x:v>Resumen de escenarios al 2030</x:v>
      </x:c>
    </x:row>
    <x:row r="2" ht="15" hidden="0" customHeight="1">
      <x:c r="A2" s="7" t="str">
        <x:v>Resultado central determinista y envolvente p10–p90 de sensibilidad conjunta. La base de clasificación se declara explícitamente.</x:v>
      </x:c>
      <x:c r="B2" s="7" t="str">
        <x:v>Resultado central determinista y envolvente p10–p90 de sensibilidad conjunta. La base de clasificación se declara explícitamente.</x:v>
      </x:c>
      <x:c r="C2" s="7" t="str">
        <x:v>Resultado central determinista y envolvente p10–p90 de sensibilidad conjunta. La base de clasificación se declara explícitamente.</x:v>
      </x:c>
      <x:c r="D2" s="7" t="str">
        <x:v>Resultado central determinista y envolvente p10–p90 de sensibilidad conjunta. La base de clasificación se declara explícitamente.</x:v>
      </x:c>
      <x:c r="E2" s="7" t="str">
        <x:v>Resultado central determinista y envolvente p10–p90 de sensibilidad conjunta. La base de clasificación se declara explícitamente.</x:v>
      </x:c>
      <x:c r="F2" s="7" t="str">
        <x:v>Resultado central determinista y envolvente p10–p90 de sensibilidad conjunta. La base de clasificación se declara explícitamente.</x:v>
      </x:c>
      <x:c r="G2" s="7" t="str">
        <x:v>Resultado central determinista y envolvente p10–p90 de sensibilidad conjunta. La base de clasificación se declara explícitamente.</x:v>
      </x:c>
      <x:c r="H2" s="7" t="str">
        <x:v>Resultado central determinista y envolvente p10–p90 de sensibilidad conjunta. La base de clasificación se declara explícitamente.</x:v>
      </x:c>
      <x:c r="I2" s="7" t="str">
        <x:v>Resultado central determinista y envolvente p10–p90 de sensibilidad conjunta. La base de clasificación se declara explícitamente.</x:v>
      </x:c>
      <x:c r="J2" s="7" t="str">
        <x:v>Resultado central determinista y envolvente p10–p90 de sensibilidad conjunta. La base de clasificación se declara explícitamente.</x:v>
      </x:c>
      <x:c r="K2" s="7" t="str">
        <x:v>Resultado central determinista y envolvente p10–p90 de sensibilidad conjunta. La base de clasificación se declara explícitamente.</x:v>
      </x:c>
      <x:c r="L2" s="7" t="str">
        <x:v>Resultado central determinista y envolvente p10–p90 de sensibilidad conjunta. La base de clasificación se declara explícitamente.</x:v>
      </x:c>
      <x:c r="M2" s="7" t="str">
        <x:v>Resultado central determinista y envolvente p10–p90 de sensibilidad conjunta. La base de clasificación se declara explícitamente.</x:v>
      </x:c>
    </x:row>
    <x:row r="3" ht="15" hidden="0" customHeight="1">
      <x:c r="A3" s="8"/>
      <x:c r="B3" s="8"/>
      <x:c r="C3" s="8"/>
      <x:c r="D3" s="8"/>
      <x:c r="E3" s="8"/>
      <x:c r="F3" s="8"/>
      <x:c r="G3" s="8"/>
      <x:c r="H3" s="8"/>
      <x:c r="I3" s="8"/>
      <x:c r="J3" s="8"/>
      <x:c r="K3" s="8"/>
      <x:c r="L3" s="8"/>
      <x:c r="M3" s="8"/>
    </x:row>
    <x:row r="4"/>
    <x:row r="5" ht="15" hidden="0" customHeight="1">
      <x:c r="A5" s="14" t="str">
        <x:v>scenario_id</x:v>
      </x:c>
      <x:c r="B5" s="14" t="str">
        <x:v>scenario_name</x:v>
      </x:c>
      <x:c r="C5" s="14" t="str">
        <x:v>scenario_type</x:v>
      </x:c>
      <x:c r="D5" s="14" t="str">
        <x:v>description</x:v>
      </x:c>
      <x:c r="E5" s="14" t="str">
        <x:v>score_2026</x:v>
      </x:c>
      <x:c r="F5" s="14" t="str">
        <x:v>score_2030</x:v>
      </x:c>
      <x:c r="G5" s="14" t="str">
        <x:v>regime_2030</x:v>
      </x:c>
      <x:c r="H5" s="14" t="str">
        <x:v>triggers</x:v>
      </x:c>
      <x:c r="I5" s="14" t="str">
        <x:v>warnings</x:v>
      </x:c>
      <x:c r="J5" s="14" t="str">
        <x:v>p10_2030</x:v>
      </x:c>
      <x:c r="K5" s="14" t="str">
        <x:v>p50_2030</x:v>
      </x:c>
      <x:c r="L5" s="14" t="str">
        <x:v>p90_2030</x:v>
      </x:c>
      <x:c r="M5" s="14" t="str">
        <x:v>classification_basis</x:v>
      </x:c>
    </x:row>
    <x:row r="6" ht="15" hidden="0" customHeight="1">
      <x:c r="A6" s="58" t="str">
        <x:v>recuperacion_institucional</x:v>
      </x:c>
      <x:c r="B6" s="58" t="str">
        <x:v>Recuperación institucional y gobernabilidad negociada</x:v>
      </x:c>
      <x:c r="C6" s="58" t="str">
        <x:v>favorable</x:v>
      </x:c>
      <x:c r="D6" s="58" t="str">
        <x:v>La legitimidad electoral se consolida, se implementan recomendaciones de observación electoral, el Ejecutivo negocia con el Congreso bicameral y la política de seguridad mantiene controles judiciales y de derechos.</x:v>
      </x:c>
      <x:c r="E6" s="59" t="n">
        <x:v>5.984</x:v>
      </x:c>
      <x:c r="F6" s="59" t="n">
        <x:v>6.222</x:v>
      </x:c>
      <x:c r="G6" s="58" t="str">
        <x:v>Flawed democracy</x:v>
      </x:c>
      <x:c r="H6" s="58" t="str">
        <x:v>Implementación verificable de recomendaciones UE/OEA; coaliciones legislativas estables; mejora del funcionamiento gubernamental; seguridad con control judicial; reducción de polarización.</x:v>
      </x:c>
      <x:c r="I6" s="58" t="str">
        <x:v>Requiere continuidad de reformas; no presupone eliminación de fragmentación ni mejora automática de cultura política.</x:v>
      </x:c>
      <x:c r="J6" s="59" t="n">
        <x:v>6.042</x:v>
      </x:c>
      <x:c r="K6" s="59" t="n">
        <x:v>6.224</x:v>
      </x:c>
      <x:c r="L6" s="59" t="n">
        <x:v>6.402</x:v>
      </x:c>
      <x:c r="M6" s="58" t="str">
        <x:v>central deterministic trajectory</x:v>
      </x:c>
    </x:row>
    <x:row r="7" ht="15" hidden="0" customHeight="1">
      <x:c r="A7" s="57" t="str">
        <x:v>continuidad_hibrida</x:v>
      </x:c>
      <x:c r="B7" s="57" t="str">
        <x:v>Continuidad híbrida y estabilización competitiva</x:v>
      </x:c>
      <x:c r="C7" s="57" t="str">
        <x:v>baseline</x:v>
      </x:c>
      <x:c r="D7" s="57" t="str">
        <x:v>El resultado electoral se institucionaliza, pero persisten fragmentación, baja confianza y tensiones Ejecutivo-Congreso. Hay continuidad procedimental sin reforma estructural suficiente.</x:v>
      </x:c>
      <x:c r="E7" s="60" t="n">
        <x:v>5.86</x:v>
      </x:c>
      <x:c r="F7" s="60" t="n">
        <x:v>5.874</x:v>
      </x:c>
      <x:c r="G7" s="57" t="str">
        <x:v>Hybrid regime</x:v>
      </x:c>
      <x:c r="H7" s="57" t="str">
        <x:v>Aceptación formal del resultado; competencia electoral preservada; reformas parciales; ciclos de conflicto político sin ruptura institucional.</x:v>
      </x:c>
      <x:c r="I7" s="57" t="str">
        <x:v>El puntaje permanece bajo el umbral de democracia defectuosa; cultura política sigue siendo cuello de botella.</x:v>
      </x:c>
      <x:c r="J7" s="60" t="n">
        <x:v>5.694</x:v>
      </x:c>
      <x:c r="K7" s="60" t="n">
        <x:v>5.874</x:v>
      </x:c>
      <x:c r="L7" s="60" t="n">
        <x:v>6.05</x:v>
      </x:c>
      <x:c r="M7" s="57" t="str">
        <x:v>central deterministic trajectory</x:v>
      </x:c>
    </x:row>
    <x:row r="8" ht="15" hidden="0" customHeight="1">
      <x:c r="A8" s="58" t="str">
        <x:v>deriva_restrictiva</x:v>
      </x:c>
      <x:c r="B8" s="58" t="str">
        <x:v>Deriva restrictiva y securitización</x:v>
      </x:c>
      <x:c r="C8" s="58" t="str">
        <x:v>adverse</x:v>
      </x:c>
      <x:c r="D8" s="58" t="str">
        <x:v>La respuesta a inseguridad y conflicto político amplía excepcionalidad, erosiona controles y libertades, y la polarización dificulta la rendición de cuentas aunque se preserven elecciones competitivas.</x:v>
      </x:c>
      <x:c r="E8" s="59" t="n">
        <x:v>5.708</x:v>
      </x:c>
      <x:c r="F8" s="59" t="n">
        <x:v>5.348</x:v>
      </x:c>
      <x:c r="G8" s="58" t="str">
        <x:v>Hybrid regime</x:v>
      </x:c>
      <x:c r="H8" s="58" t="str">
        <x:v>Endurecimiento securitario sin salvaguardas; captura o debilitamiento de contrapesos; conflicto sostenido con oposición; restricciones a protesta/expresión; crisis de confianza electoral.</x:v>
      </x:c>
      <x:c r="I8" s="58" t="str">
        <x:v>No implica autoritarismo pleno: modela un híbrido más restrictivo con deterioro concentrado en gobierno, cultura y libertades.</x:v>
      </x:c>
      <x:c r="J8" s="59" t="n">
        <x:v>5.163</x:v>
      </x:c>
      <x:c r="K8" s="59" t="n">
        <x:v>5.349</x:v>
      </x:c>
      <x:c r="L8" s="59" t="n">
        <x:v>5.535</x:v>
      </x:c>
      <x:c r="M8" s="58" t="str">
        <x:v>central deterministic trajectory</x:v>
      </x:c>
    </x:row>
  </x:sheetData>
  <x:mergeCells>
    <x:mergeCell ref="A1:M1"/>
    <x:mergeCell ref="A2:M2"/>
  </x:mergeCells>
  <x:pageMargins left="0.7" right="0.7" top="0.75" bottom="0.75" header="0.3" footer="0.3"/>
  <x:tableParts count="1">
    <x:tablePart xmlns:r="http://schemas.openxmlformats.org/officeDocument/2006/relationships" r:id="Rfd80a1dc5a114dd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2" hidden="0" customWidth="1"/>
    <x:col min="2" max="2" width="32" hidden="0" customWidth="1"/>
    <x:col min="3" max="3" width="32" hidden="0" customWidth="1"/>
    <x:col min="4" max="4" width="32" hidden="0" customWidth="1"/>
    <x:col min="5" max="5" width="32" hidden="0" customWidth="1"/>
    <x:col min="6" max="6" width="32" hidden="0" customWidth="1"/>
    <x:col min="7" max="7" width="44" hidden="0" customWidth="1"/>
    <x:col min="8" max="8" width="44" hidden="0" customWidth="1"/>
  </x:cols>
  <x:sheetData>
    <x:row r="1" ht="19.200000762939453" hidden="0" customHeight="1">
      <x:c r="A1" s="3" t="str">
        <x:v>Sensibilidad agregada por año</x:v>
      </x:c>
      <x:c r="B1" s="3" t="str">
        <x:v>Sensibilidad agregada por año</x:v>
      </x:c>
      <x:c r="C1" s="3" t="str">
        <x:v>Sensibilidad agregada por año</x:v>
      </x:c>
      <x:c r="D1" s="3" t="str">
        <x:v>Sensibilidad agregada por año</x:v>
      </x:c>
      <x:c r="E1" s="3" t="str">
        <x:v>Sensibilidad agregada por año</x:v>
      </x:c>
      <x:c r="F1" s="3" t="str">
        <x:v>Sensibilidad agregada por año</x:v>
      </x:c>
      <x:c r="G1" s="3" t="str">
        <x:v>Sensibilidad agregada por año</x:v>
      </x:c>
      <x:c r="H1" s="3" t="str">
        <x:v>Sensibilidad agregada por año</x:v>
      </x:c>
    </x:row>
    <x:row r="2" ht="15" hidden="0" customHeight="1">
      <x:c r="A2" s="7" t="str">
        <x:v>10.000 simulaciones por escenario con números aleatorios comunes. p10–p90 no es intervalo de confianza ni probabilidad del escenario.</x:v>
      </x:c>
      <x:c r="B2" s="7" t="str">
        <x:v>10.000 simulaciones por escenario con números aleatorios comunes. p10–p90 no es intervalo de confianza ni probabilidad del escenario.</x:v>
      </x:c>
      <x:c r="C2" s="7" t="str">
        <x:v>10.000 simulaciones por escenario con números aleatorios comunes. p10–p90 no es intervalo de confianza ni probabilidad del escenario.</x:v>
      </x:c>
      <x:c r="D2" s="7" t="str">
        <x:v>10.000 simulaciones por escenario con números aleatorios comunes. p10–p90 no es intervalo de confianza ni probabilidad del escenario.</x:v>
      </x:c>
      <x:c r="E2" s="7" t="str">
        <x:v>10.000 simulaciones por escenario con números aleatorios comunes. p10–p90 no es intervalo de confianza ni probabilidad del escenario.</x:v>
      </x:c>
      <x:c r="F2" s="7" t="str">
        <x:v>10.000 simulaciones por escenario con números aleatorios comunes. p10–p90 no es intervalo de confianza ni probabilidad del escenario.</x:v>
      </x:c>
      <x:c r="G2" s="7" t="str">
        <x:v>10.000 simulaciones por escenario con números aleatorios comunes. p10–p90 no es intervalo de confianza ni probabilidad del escenario.</x:v>
      </x:c>
      <x:c r="H2" s="7" t="str">
        <x:v>10.000 simulaciones por escenario con números aleatorios comunes. p10–p90 no es intervalo de confianza ni probabilidad del escenario.</x:v>
      </x:c>
    </x:row>
    <x:row r="3" ht="15" hidden="0" customHeight="1">
      <x:c r="A3" s="8"/>
      <x:c r="B3" s="8"/>
      <x:c r="C3" s="8"/>
      <x:c r="D3" s="8"/>
      <x:c r="E3" s="8"/>
      <x:c r="F3" s="8"/>
      <x:c r="G3" s="8"/>
      <x:c r="H3" s="8"/>
    </x:row>
    <x:row r="4"/>
    <x:row r="5" ht="15" hidden="0" customHeight="1">
      <x:c r="A5" s="14" t="str">
        <x:v>scenario_id</x:v>
      </x:c>
      <x:c r="B5" s="14" t="str">
        <x:v>year</x:v>
      </x:c>
      <x:c r="C5" s="14" t="str">
        <x:v>p10</x:v>
      </x:c>
      <x:c r="D5" s="14" t="str">
        <x:v>p50</x:v>
      </x:c>
      <x:c r="E5" s="14" t="str">
        <x:v>p90</x:v>
      </x:c>
      <x:c r="F5" s="14" t="str">
        <x:v>n_sim</x:v>
      </x:c>
      <x:c r="G5" s="14" t="str">
        <x:v>uncertainty_layers</x:v>
      </x:c>
      <x:c r="H5" s="14" t="str">
        <x:v>note</x:v>
      </x:c>
    </x:row>
    <x:row r="6" ht="15" hidden="0" customHeight="1">
      <x:c r="A6" s="58" t="str">
        <x:v>recuperacion_institucional</x:v>
      </x:c>
      <x:c r="B6" s="59" t="n">
        <x:v>2025</x:v>
      </x:c>
      <x:c r="C6" s="59" t="n">
        <x:v>5.88</x:v>
      </x:c>
      <x:c r="D6" s="59" t="n">
        <x:v>5.88</x:v>
      </x:c>
      <x:c r="E6" s="59" t="n">
        <x:v>5.88</x:v>
      </x:c>
      <x:c r="F6" s="59" t="n">
        <x:v>10000</x:v>
      </x:c>
      <x:c r="G6" s="58" t="str">
        <x:v>2025 dimensional composition; bounded scenario parameters; structural-rate scale; correlated residual perturbation</x:v>
      </x:c>
      <x:c r="H6" s="58" t="str">
        <x:v>Sensitivity envelope; not a confidence interval and not a scenario-occurrence probability.</x:v>
      </x:c>
    </x:row>
    <x:row r="7" ht="15" hidden="0" customHeight="1">
      <x:c r="A7" s="57" t="str">
        <x:v>recuperacion_institucional</x:v>
      </x:c>
      <x:c r="B7" s="60" t="n">
        <x:v>2026</x:v>
      </x:c>
      <x:c r="C7" s="60" t="n">
        <x:v>5.906</x:v>
      </x:c>
      <x:c r="D7" s="60" t="n">
        <x:v>5.983</x:v>
      </x:c>
      <x:c r="E7" s="60" t="n">
        <x:v>6.062</x:v>
      </x:c>
      <x:c r="F7" s="60" t="n">
        <x:v>10000</x:v>
      </x:c>
      <x:c r="G7" s="57" t="str">
        <x:v>2025 dimensional composition; bounded scenario parameters; structural-rate scale; correlated residual perturbation</x:v>
      </x:c>
      <x:c r="H7" s="57" t="str">
        <x:v>Sensitivity envelope; not a confidence interval and not a scenario-occurrence probability.</x:v>
      </x:c>
    </x:row>
    <x:row r="8" ht="15" hidden="0" customHeight="1">
      <x:c r="A8" s="58" t="str">
        <x:v>recuperacion_institucional</x:v>
      </x:c>
      <x:c r="B8" s="59" t="n">
        <x:v>2027</x:v>
      </x:c>
      <x:c r="C8" s="59" t="n">
        <x:v>5.943</x:v>
      </x:c>
      <x:c r="D8" s="59" t="n">
        <x:v>6.053</x:v>
      </x:c>
      <x:c r="E8" s="59" t="n">
        <x:v>6.165</x:v>
      </x:c>
      <x:c r="F8" s="59" t="n">
        <x:v>10000</x:v>
      </x:c>
      <x:c r="G8" s="58" t="str">
        <x:v>2025 dimensional composition; bounded scenario parameters; structural-rate scale; correlated residual perturbation</x:v>
      </x:c>
      <x:c r="H8" s="58" t="str">
        <x:v>Sensitivity envelope; not a confidence interval and not a scenario-occurrence probability.</x:v>
      </x:c>
    </x:row>
    <x:row r="9" ht="15" hidden="0" customHeight="1">
      <x:c r="A9" s="57" t="str">
        <x:v>recuperacion_institucional</x:v>
      </x:c>
      <x:c r="B9" s="60" t="n">
        <x:v>2028</x:v>
      </x:c>
      <x:c r="C9" s="60" t="n">
        <x:v>5.98</x:v>
      </x:c>
      <x:c r="D9" s="60" t="n">
        <x:v>6.117</x:v>
      </x:c>
      <x:c r="E9" s="60" t="n">
        <x:v>6.253</x:v>
      </x:c>
      <x:c r="F9" s="60" t="n">
        <x:v>10000</x:v>
      </x:c>
      <x:c r="G9" s="57" t="str">
        <x:v>2025 dimensional composition; bounded scenario parameters; structural-rate scale; correlated residual perturbation</x:v>
      </x:c>
      <x:c r="H9" s="57" t="str">
        <x:v>Sensitivity envelope; not a confidence interval and not a scenario-occurrence probability.</x:v>
      </x:c>
    </x:row>
    <x:row r="10" ht="15" hidden="0" customHeight="1">
      <x:c r="A10" s="58" t="str">
        <x:v>recuperacion_institucional</x:v>
      </x:c>
      <x:c r="B10" s="59" t="n">
        <x:v>2029</x:v>
      </x:c>
      <x:c r="C10" s="59" t="n">
        <x:v>6.013</x:v>
      </x:c>
      <x:c r="D10" s="59" t="n">
        <x:v>6.174</x:v>
      </x:c>
      <x:c r="E10" s="59" t="n">
        <x:v>6.334</x:v>
      </x:c>
      <x:c r="F10" s="59" t="n">
        <x:v>10000</x:v>
      </x:c>
      <x:c r="G10" s="58" t="str">
        <x:v>2025 dimensional composition; bounded scenario parameters; structural-rate scale; correlated residual perturbation</x:v>
      </x:c>
      <x:c r="H10" s="58" t="str">
        <x:v>Sensitivity envelope; not a confidence interval and not a scenario-occurrence probability.</x:v>
      </x:c>
    </x:row>
    <x:row r="11" ht="15" hidden="0" customHeight="1">
      <x:c r="A11" s="57" t="str">
        <x:v>recuperacion_institucional</x:v>
      </x:c>
      <x:c r="B11" s="60" t="n">
        <x:v>2030</x:v>
      </x:c>
      <x:c r="C11" s="60" t="n">
        <x:v>6.042</x:v>
      </x:c>
      <x:c r="D11" s="60" t="n">
        <x:v>6.224</x:v>
      </x:c>
      <x:c r="E11" s="60" t="n">
        <x:v>6.402</x:v>
      </x:c>
      <x:c r="F11" s="60" t="n">
        <x:v>10000</x:v>
      </x:c>
      <x:c r="G11" s="57" t="str">
        <x:v>2025 dimensional composition; bounded scenario parameters; structural-rate scale; correlated residual perturbation</x:v>
      </x:c>
      <x:c r="H11" s="57" t="str">
        <x:v>Sensitivity envelope; not a confidence interval and not a scenario-occurrence probability.</x:v>
      </x:c>
    </x:row>
    <x:row r="12" ht="15" hidden="0" customHeight="1">
      <x:c r="A12" s="58" t="str">
        <x:v>continuidad_hibrida</x:v>
      </x:c>
      <x:c r="B12" s="59" t="n">
        <x:v>2025</x:v>
      </x:c>
      <x:c r="C12" s="59" t="n">
        <x:v>5.88</x:v>
      </x:c>
      <x:c r="D12" s="59" t="n">
        <x:v>5.88</x:v>
      </x:c>
      <x:c r="E12" s="59" t="n">
        <x:v>5.88</x:v>
      </x:c>
      <x:c r="F12" s="59" t="n">
        <x:v>10000</x:v>
      </x:c>
      <x:c r="G12" s="58" t="str">
        <x:v>2025 dimensional composition; bounded scenario parameters; structural-rate scale; correlated residual perturbation</x:v>
      </x:c>
      <x:c r="H12" s="58" t="str">
        <x:v>Sensitivity envelope; not a confidence interval and not a scenario-occurrence probability.</x:v>
      </x:c>
    </x:row>
    <x:row r="13" ht="15" hidden="0" customHeight="1">
      <x:c r="A13" s="57" t="str">
        <x:v>continuidad_hibrida</x:v>
      </x:c>
      <x:c r="B13" s="60" t="n">
        <x:v>2026</x:v>
      </x:c>
      <x:c r="C13" s="60" t="n">
        <x:v>5.78</x:v>
      </x:c>
      <x:c r="D13" s="60" t="n">
        <x:v>5.857</x:v>
      </x:c>
      <x:c r="E13" s="60" t="n">
        <x:v>5.937</x:v>
      </x:c>
      <x:c r="F13" s="60" t="n">
        <x:v>10000</x:v>
      </x:c>
      <x:c r="G13" s="57" t="str">
        <x:v>2025 dimensional composition; bounded scenario parameters; structural-rate scale; correlated residual perturbation</x:v>
      </x:c>
      <x:c r="H13" s="57" t="str">
        <x:v>Sensitivity envelope; not a confidence interval and not a scenario-occurrence probability.</x:v>
      </x:c>
    </x:row>
    <x:row r="14" ht="15" hidden="0" customHeight="1">
      <x:c r="A14" s="58" t="str">
        <x:v>continuidad_hibrida</x:v>
      </x:c>
      <x:c r="B14" s="59" t="n">
        <x:v>2027</x:v>
      </x:c>
      <x:c r="C14" s="59" t="n">
        <x:v>5.751</x:v>
      </x:c>
      <x:c r="D14" s="59" t="n">
        <x:v>5.862</x:v>
      </x:c>
      <x:c r="E14" s="59" t="n">
        <x:v>5.973</x:v>
      </x:c>
      <x:c r="F14" s="59" t="n">
        <x:v>10000</x:v>
      </x:c>
      <x:c r="G14" s="58" t="str">
        <x:v>2025 dimensional composition; bounded scenario parameters; structural-rate scale; correlated residual perturbation</x:v>
      </x:c>
      <x:c r="H14" s="58" t="str">
        <x:v>Sensitivity envelope; not a confidence interval and not a scenario-occurrence probability.</x:v>
      </x:c>
    </x:row>
    <x:row r="15" ht="15" hidden="0" customHeight="1">
      <x:c r="A15" s="57" t="str">
        <x:v>continuidad_hibrida</x:v>
      </x:c>
      <x:c r="B15" s="60" t="n">
        <x:v>2028</x:v>
      </x:c>
      <x:c r="C15" s="60" t="n">
        <x:v>5.73</x:v>
      </x:c>
      <x:c r="D15" s="60" t="n">
        <x:v>5.865</x:v>
      </x:c>
      <x:c r="E15" s="60" t="n">
        <x:v>6.001</x:v>
      </x:c>
      <x:c r="F15" s="60" t="n">
        <x:v>10000</x:v>
      </x:c>
      <x:c r="G15" s="57" t="str">
        <x:v>2025 dimensional composition; bounded scenario parameters; structural-rate scale; correlated residual perturbation</x:v>
      </x:c>
      <x:c r="H15" s="57" t="str">
        <x:v>Sensitivity envelope; not a confidence interval and not a scenario-occurrence probability.</x:v>
      </x:c>
    </x:row>
    <x:row r="16" ht="15" hidden="0" customHeight="1">
      <x:c r="A16" s="58" t="str">
        <x:v>continuidad_hibrida</x:v>
      </x:c>
      <x:c r="B16" s="59" t="n">
        <x:v>2029</x:v>
      </x:c>
      <x:c r="C16" s="59" t="n">
        <x:v>5.709</x:v>
      </x:c>
      <x:c r="D16" s="59" t="n">
        <x:v>5.869</x:v>
      </x:c>
      <x:c r="E16" s="59" t="n">
        <x:v>6.027</x:v>
      </x:c>
      <x:c r="F16" s="59" t="n">
        <x:v>10000</x:v>
      </x:c>
      <x:c r="G16" s="58" t="str">
        <x:v>2025 dimensional composition; bounded scenario parameters; structural-rate scale; correlated residual perturbation</x:v>
      </x:c>
      <x:c r="H16" s="58" t="str">
        <x:v>Sensitivity envelope; not a confidence interval and not a scenario-occurrence probability.</x:v>
      </x:c>
    </x:row>
    <x:row r="17" ht="15" hidden="0" customHeight="1">
      <x:c r="A17" s="57" t="str">
        <x:v>continuidad_hibrida</x:v>
      </x:c>
      <x:c r="B17" s="60" t="n">
        <x:v>2030</x:v>
      </x:c>
      <x:c r="C17" s="60" t="n">
        <x:v>5.694</x:v>
      </x:c>
      <x:c r="D17" s="60" t="n">
        <x:v>5.874</x:v>
      </x:c>
      <x:c r="E17" s="60" t="n">
        <x:v>6.05</x:v>
      </x:c>
      <x:c r="F17" s="60" t="n">
        <x:v>10000</x:v>
      </x:c>
      <x:c r="G17" s="57" t="str">
        <x:v>2025 dimensional composition; bounded scenario parameters; structural-rate scale; correlated residual perturbation</x:v>
      </x:c>
      <x:c r="H17" s="57" t="str">
        <x:v>Sensitivity envelope; not a confidence interval and not a scenario-occurrence probability.</x:v>
      </x:c>
    </x:row>
    <x:row r="18" ht="15" hidden="0" customHeight="1">
      <x:c r="A18" s="58" t="str">
        <x:v>deriva_restrictiva</x:v>
      </x:c>
      <x:c r="B18" s="59" t="n">
        <x:v>2025</x:v>
      </x:c>
      <x:c r="C18" s="59" t="n">
        <x:v>5.88</x:v>
      </x:c>
      <x:c r="D18" s="59" t="n">
        <x:v>5.88</x:v>
      </x:c>
      <x:c r="E18" s="59" t="n">
        <x:v>5.88</x:v>
      </x:c>
      <x:c r="F18" s="59" t="n">
        <x:v>10000</x:v>
      </x:c>
      <x:c r="G18" s="58" t="str">
        <x:v>2025 dimensional composition; bounded scenario parameters; structural-rate scale; correlated residual perturbation</x:v>
      </x:c>
      <x:c r="H18" s="58" t="str">
        <x:v>Sensitivity envelope; not a confidence interval and not a scenario-occurrence probability.</x:v>
      </x:c>
    </x:row>
    <x:row r="19" ht="15" hidden="0" customHeight="1">
      <x:c r="A19" s="57" t="str">
        <x:v>deriva_restrictiva</x:v>
      </x:c>
      <x:c r="B19" s="60" t="n">
        <x:v>2026</x:v>
      </x:c>
      <x:c r="C19" s="60" t="n">
        <x:v>5.627</x:v>
      </x:c>
      <x:c r="D19" s="60" t="n">
        <x:v>5.707</x:v>
      </x:c>
      <x:c r="E19" s="60" t="n">
        <x:v>5.789</x:v>
      </x:c>
      <x:c r="F19" s="60" t="n">
        <x:v>10000</x:v>
      </x:c>
      <x:c r="G19" s="57" t="str">
        <x:v>2025 dimensional composition; bounded scenario parameters; structural-rate scale; correlated residual perturbation</x:v>
      </x:c>
      <x:c r="H19" s="57" t="str">
        <x:v>Sensitivity envelope; not a confidence interval and not a scenario-occurrence probability.</x:v>
      </x:c>
    </x:row>
    <x:row r="20" ht="15" hidden="0" customHeight="1">
      <x:c r="A20" s="58" t="str">
        <x:v>deriva_restrictiva</x:v>
      </x:c>
      <x:c r="B20" s="59" t="n">
        <x:v>2027</x:v>
      </x:c>
      <x:c r="C20" s="59" t="n">
        <x:v>5.489</x:v>
      </x:c>
      <x:c r="D20" s="59" t="n">
        <x:v>5.602</x:v>
      </x:c>
      <x:c r="E20" s="59" t="n">
        <x:v>5.716</x:v>
      </x:c>
      <x:c r="F20" s="59" t="n">
        <x:v>10000</x:v>
      </x:c>
      <x:c r="G20" s="58" t="str">
        <x:v>2025 dimensional composition; bounded scenario parameters; structural-rate scale; correlated residual perturbation</x:v>
      </x:c>
      <x:c r="H20" s="58" t="str">
        <x:v>Sensitivity envelope; not a confidence interval and not a scenario-occurrence probability.</x:v>
      </x:c>
    </x:row>
    <x:row r="21" ht="15" hidden="0" customHeight="1">
      <x:c r="A21" s="57" t="str">
        <x:v>deriva_restrictiva</x:v>
      </x:c>
      <x:c r="B21" s="60" t="n">
        <x:v>2028</x:v>
      </x:c>
      <x:c r="C21" s="60" t="n">
        <x:v>5.365</x:v>
      </x:c>
      <x:c r="D21" s="60" t="n">
        <x:v>5.507</x:v>
      </x:c>
      <x:c r="E21" s="60" t="n">
        <x:v>5.646</x:v>
      </x:c>
      <x:c r="F21" s="60" t="n">
        <x:v>10000</x:v>
      </x:c>
      <x:c r="G21" s="57" t="str">
        <x:v>2025 dimensional composition; bounded scenario parameters; structural-rate scale; correlated residual perturbation</x:v>
      </x:c>
      <x:c r="H21" s="57" t="str">
        <x:v>Sensitivity envelope; not a confidence interval and not a scenario-occurrence probability.</x:v>
      </x:c>
    </x:row>
    <x:row r="22" ht="15" hidden="0" customHeight="1">
      <x:c r="A22" s="58" t="str">
        <x:v>deriva_restrictiva</x:v>
      </x:c>
      <x:c r="B22" s="59" t="n">
        <x:v>2029</x:v>
      </x:c>
      <x:c r="C22" s="59" t="n">
        <x:v>5.258</x:v>
      </x:c>
      <x:c r="D22" s="59" t="n">
        <x:v>5.423</x:v>
      </x:c>
      <x:c r="E22" s="59" t="n">
        <x:v>5.585</x:v>
      </x:c>
      <x:c r="F22" s="59" t="n">
        <x:v>10000</x:v>
      </x:c>
      <x:c r="G22" s="58" t="str">
        <x:v>2025 dimensional composition; bounded scenario parameters; structural-rate scale; correlated residual perturbation</x:v>
      </x:c>
      <x:c r="H22" s="58" t="str">
        <x:v>Sensitivity envelope; not a confidence interval and not a scenario-occurrence probability.</x:v>
      </x:c>
    </x:row>
    <x:row r="23" ht="15" hidden="0" customHeight="1">
      <x:c r="A23" s="57" t="str">
        <x:v>deriva_restrictiva</x:v>
      </x:c>
      <x:c r="B23" s="60" t="n">
        <x:v>2030</x:v>
      </x:c>
      <x:c r="C23" s="60" t="n">
        <x:v>5.163</x:v>
      </x:c>
      <x:c r="D23" s="60" t="n">
        <x:v>5.349</x:v>
      </x:c>
      <x:c r="E23" s="60" t="n">
        <x:v>5.535</x:v>
      </x:c>
      <x:c r="F23" s="60" t="n">
        <x:v>10000</x:v>
      </x:c>
      <x:c r="G23" s="57" t="str">
        <x:v>2025 dimensional composition; bounded scenario parameters; structural-rate scale; correlated residual perturbation</x:v>
      </x:c>
      <x:c r="H23" s="57" t="str">
        <x:v>Sensitivity envelope; not a confidence interval and not a scenario-occurrence probability.</x:v>
      </x:c>
    </x:row>
  </x:sheetData>
  <x:mergeCells>
    <x:mergeCell ref="A1:H1"/>
    <x:mergeCell ref="A2:H2"/>
  </x:mergeCells>
  <x:pageMargins left="0.7" right="0.7" top="0.75" bottom="0.75" header="0.3" footer="0.3"/>
  <x:tableParts count="1">
    <x:tablePart xmlns:r="http://schemas.openxmlformats.org/officeDocument/2006/relationships" r:id="Rc99809530a2641d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44" hidden="0" customWidth="1"/>
    <x:col min="4" max="4" width="44" hidden="0" customWidth="1"/>
    <x:col min="5" max="5" width="30" hidden="0" customWidth="1"/>
    <x:col min="6" max="6" width="30" hidden="0" customWidth="1"/>
    <x:col min="7" max="7" width="30" hidden="0" customWidth="1"/>
    <x:col min="8" max="8" width="30" hidden="0" customWidth="1"/>
  </x:cols>
  <x:sheetData>
    <x:row r="1" ht="19.200000762939453" hidden="0" customHeight="1">
      <x:c r="A1" s="3" t="str">
        <x:v>Sensibilidad por dimensión</x:v>
      </x:c>
      <x:c r="B1" s="3" t="str">
        <x:v>Sensibilidad por dimensión</x:v>
      </x:c>
      <x:c r="C1" s="3" t="str">
        <x:v>Sensibilidad por dimensión</x:v>
      </x:c>
      <x:c r="D1" s="3" t="str">
        <x:v>Sensibilidad por dimensión</x:v>
      </x:c>
      <x:c r="E1" s="3" t="str">
        <x:v>Sensibilidad por dimensión</x:v>
      </x:c>
      <x:c r="F1" s="3" t="str">
        <x:v>Sensibilidad por dimensión</x:v>
      </x:c>
      <x:c r="G1" s="3" t="str">
        <x:v>Sensibilidad por dimensión</x:v>
      </x:c>
      <x:c r="H1" s="3" t="str">
        <x:v>Sensibilidad por dimensión</x:v>
      </x:c>
    </x:row>
    <x:row r="2" ht="15" hidden="0" customHeight="1">
      <x:c r="A2" s="7" t="str">
        <x:v>Envolventes p10–p90 para cada dimensión, año y escenario; permiten auditar cómo la incertidumbre conjunta se transmite al índice total.</x:v>
      </x:c>
      <x:c r="B2" s="7" t="str">
        <x:v>Envolventes p10–p90 para cada dimensión, año y escenario; permiten auditar cómo la incertidumbre conjunta se transmite al índice total.</x:v>
      </x:c>
      <x:c r="C2" s="7" t="str">
        <x:v>Envolventes p10–p90 para cada dimensión, año y escenario; permiten auditar cómo la incertidumbre conjunta se transmite al índice total.</x:v>
      </x:c>
      <x:c r="D2" s="7" t="str">
        <x:v>Envolventes p10–p90 para cada dimensión, año y escenario; permiten auditar cómo la incertidumbre conjunta se transmite al índice total.</x:v>
      </x:c>
      <x:c r="E2" s="7" t="str">
        <x:v>Envolventes p10–p90 para cada dimensión, año y escenario; permiten auditar cómo la incertidumbre conjunta se transmite al índice total.</x:v>
      </x:c>
      <x:c r="F2" s="7" t="str">
        <x:v>Envolventes p10–p90 para cada dimensión, año y escenario; permiten auditar cómo la incertidumbre conjunta se transmite al índice total.</x:v>
      </x:c>
      <x:c r="G2" s="7" t="str">
        <x:v>Envolventes p10–p90 para cada dimensión, año y escenario; permiten auditar cómo la incertidumbre conjunta se transmite al índice total.</x:v>
      </x:c>
      <x:c r="H2" s="7" t="str">
        <x:v>Envolventes p10–p90 para cada dimensión, año y escenario; permiten auditar cómo la incertidumbre conjunta se transmite al índice total.</x:v>
      </x:c>
    </x:row>
    <x:row r="3" ht="15" hidden="0" customHeight="1">
      <x:c r="A3" s="8"/>
      <x:c r="B3" s="8"/>
      <x:c r="C3" s="8"/>
      <x:c r="D3" s="8"/>
      <x:c r="E3" s="8"/>
      <x:c r="F3" s="8"/>
      <x:c r="G3" s="8"/>
      <x:c r="H3" s="8"/>
    </x:row>
    <x:row r="4"/>
    <x:row r="5" ht="15" hidden="0" customHeight="1">
      <x:c r="A5" s="14" t="str">
        <x:v>scenario_id</x:v>
      </x:c>
      <x:c r="B5" s="14" t="str">
        <x:v>year</x:v>
      </x:c>
      <x:c r="C5" s="14" t="str">
        <x:v>category_full</x:v>
      </x:c>
      <x:c r="D5" s="14" t="str">
        <x:v>category_es</x:v>
      </x:c>
      <x:c r="E5" s="14" t="str">
        <x:v>p10</x:v>
      </x:c>
      <x:c r="F5" s="14" t="str">
        <x:v>p50</x:v>
      </x:c>
      <x:c r="G5" s="14" t="str">
        <x:v>p90</x:v>
      </x:c>
      <x:c r="H5" s="14" t="str">
        <x:v>n_sim</x:v>
      </x:c>
    </x:row>
    <x:row r="6" ht="15" hidden="0" customHeight="1">
      <x:c r="A6" s="58" t="str">
        <x:v>recuperacion_institucional</x:v>
      </x:c>
      <x:c r="B6" s="59" t="n">
        <x:v>2025</x:v>
      </x:c>
      <x:c r="C6" s="58" t="str">
        <x:v>Electoral process and pluralism</x:v>
      </x:c>
      <x:c r="D6" s="58" t="str">
        <x:v>Proceso electoral y pluralismo</x:v>
      </x:c>
      <x:c r="E6" s="59" t="n">
        <x:v>8.772</x:v>
      </x:c>
      <x:c r="F6" s="59" t="n">
        <x:v>8.879</x:v>
      </x:c>
      <x:c r="G6" s="59" t="n">
        <x:v>8.987</x:v>
      </x:c>
      <x:c r="H6" s="59" t="n">
        <x:v>10000</x:v>
      </x:c>
    </x:row>
    <x:row r="7" ht="15" hidden="0" customHeight="1">
      <x:c r="A7" s="57" t="str">
        <x:v>recuperacion_institucional</x:v>
      </x:c>
      <x:c r="B7" s="60" t="n">
        <x:v>2025</x:v>
      </x:c>
      <x:c r="C7" s="57" t="str">
        <x:v>Functioning of government</x:v>
      </x:c>
      <x:c r="D7" s="57" t="str">
        <x:v>Funcionamiento del gobierno</x:v>
      </x:c>
      <x:c r="E7" s="60" t="n">
        <x:v>5.914</x:v>
      </x:c>
      <x:c r="F7" s="60" t="n">
        <x:v>6.03</x:v>
      </x:c>
      <x:c r="G7" s="60" t="n">
        <x:v>6.143</x:v>
      </x:c>
      <x:c r="H7" s="60" t="n">
        <x:v>10000</x:v>
      </x:c>
    </x:row>
    <x:row r="8" ht="15" hidden="0" customHeight="1">
      <x:c r="A8" s="58" t="str">
        <x:v>recuperacion_institucional</x:v>
      </x:c>
      <x:c r="B8" s="59" t="n">
        <x:v>2025</x:v>
      </x:c>
      <x:c r="C8" s="58" t="str">
        <x:v>Political participation</x:v>
      </x:c>
      <x:c r="D8" s="58" t="str">
        <x:v>Participación política</x:v>
      </x:c>
      <x:c r="E8" s="59" t="n">
        <x:v>4.906</x:v>
      </x:c>
      <x:c r="F8" s="59" t="n">
        <x:v>5.07</x:v>
      </x:c>
      <x:c r="G8" s="59" t="n">
        <x:v>5.237</x:v>
      </x:c>
      <x:c r="H8" s="59" t="n">
        <x:v>10000</x:v>
      </x:c>
    </x:row>
    <x:row r="9" ht="15" hidden="0" customHeight="1">
      <x:c r="A9" s="57" t="str">
        <x:v>recuperacion_institucional</x:v>
      </x:c>
      <x:c r="B9" s="60" t="n">
        <x:v>2025</x:v>
      </x:c>
      <x:c r="C9" s="57" t="str">
        <x:v>Political culture</x:v>
      </x:c>
      <x:c r="D9" s="57" t="str">
        <x:v>Cultura política</x:v>
      </x:c>
      <x:c r="E9" s="60" t="n">
        <x:v>2.692</x:v>
      </x:c>
      <x:c r="F9" s="60" t="n">
        <x:v>2.999</x:v>
      </x:c>
      <x:c r="G9" s="60" t="n">
        <x:v>3.308</x:v>
      </x:c>
      <x:c r="H9" s="60" t="n">
        <x:v>10000</x:v>
      </x:c>
    </x:row>
    <x:row r="10" ht="15" hidden="0" customHeight="1">
      <x:c r="A10" s="58" t="str">
        <x:v>recuperacion_institucional</x:v>
      </x:c>
      <x:c r="B10" s="59" t="n">
        <x:v>2025</x:v>
      </x:c>
      <x:c r="C10" s="58" t="str">
        <x:v>Civil liberties</x:v>
      </x:c>
      <x:c r="D10" s="58" t="str">
        <x:v>Libertades civiles</x:v>
      </x:c>
      <x:c r="E10" s="59" t="n">
        <x:v>6.252</x:v>
      </x:c>
      <x:c r="F10" s="59" t="n">
        <x:v>6.422</x:v>
      </x:c>
      <x:c r="G10" s="59" t="n">
        <x:v>6.586</x:v>
      </x:c>
      <x:c r="H10" s="59" t="n">
        <x:v>10000</x:v>
      </x:c>
    </x:row>
    <x:row r="11" ht="15" hidden="0" customHeight="1">
      <x:c r="A11" s="57" t="str">
        <x:v>recuperacion_institucional</x:v>
      </x:c>
      <x:c r="B11" s="60" t="n">
        <x:v>2026</x:v>
      </x:c>
      <x:c r="C11" s="57" t="str">
        <x:v>Electoral process and pluralism</x:v>
      </x:c>
      <x:c r="D11" s="57" t="str">
        <x:v>Proceso electoral y pluralismo</x:v>
      </x:c>
      <x:c r="E11" s="60" t="n">
        <x:v>8.879</x:v>
      </x:c>
      <x:c r="F11" s="60" t="n">
        <x:v>9</x:v>
      </x:c>
      <x:c r="G11" s="60" t="n">
        <x:v>9.121</x:v>
      </x:c>
      <x:c r="H11" s="60" t="n">
        <x:v>10000</x:v>
      </x:c>
    </x:row>
    <x:row r="12" ht="15" hidden="0" customHeight="1">
      <x:c r="A12" s="58" t="str">
        <x:v>recuperacion_institucional</x:v>
      </x:c>
      <x:c r="B12" s="59" t="n">
        <x:v>2026</x:v>
      </x:c>
      <x:c r="C12" s="58" t="str">
        <x:v>Functioning of government</x:v>
      </x:c>
      <x:c r="D12" s="58" t="str">
        <x:v>Funcionamiento del gobierno</x:v>
      </x:c>
      <x:c r="E12" s="59" t="n">
        <x:v>6.017</x:v>
      </x:c>
      <x:c r="F12" s="59" t="n">
        <x:v>6.147</x:v>
      </x:c>
      <x:c r="G12" s="59" t="n">
        <x:v>6.282</x:v>
      </x:c>
      <x:c r="H12" s="59" t="n">
        <x:v>10000</x:v>
      </x:c>
    </x:row>
    <x:row r="13" ht="15" hidden="0" customHeight="1">
      <x:c r="A13" s="57" t="str">
        <x:v>recuperacion_institucional</x:v>
      </x:c>
      <x:c r="B13" s="60" t="n">
        <x:v>2026</x:v>
      </x:c>
      <x:c r="C13" s="57" t="str">
        <x:v>Political participation</x:v>
      </x:c>
      <x:c r="D13" s="57" t="str">
        <x:v>Participación política</x:v>
      </x:c>
      <x:c r="E13" s="60" t="n">
        <x:v>4.964</x:v>
      </x:c>
      <x:c r="F13" s="60" t="n">
        <x:v>5.151</x:v>
      </x:c>
      <x:c r="G13" s="60" t="n">
        <x:v>5.338</x:v>
      </x:c>
      <x:c r="H13" s="60" t="n">
        <x:v>10000</x:v>
      </x:c>
    </x:row>
    <x:row r="14" ht="15" hidden="0" customHeight="1">
      <x:c r="A14" s="58" t="str">
        <x:v>recuperacion_institucional</x:v>
      </x:c>
      <x:c r="B14" s="59" t="n">
        <x:v>2026</x:v>
      </x:c>
      <x:c r="C14" s="58" t="str">
        <x:v>Political culture</x:v>
      </x:c>
      <x:c r="D14" s="58" t="str">
        <x:v>Cultura política</x:v>
      </x:c>
      <x:c r="E14" s="59" t="n">
        <x:v>2.748</x:v>
      </x:c>
      <x:c r="F14" s="59" t="n">
        <x:v>3.145</x:v>
      </x:c>
      <x:c r="G14" s="59" t="n">
        <x:v>3.553</x:v>
      </x:c>
      <x:c r="H14" s="59" t="n">
        <x:v>10000</x:v>
      </x:c>
    </x:row>
    <x:row r="15" ht="15" hidden="0" customHeight="1">
      <x:c r="A15" s="57" t="str">
        <x:v>recuperacion_institucional</x:v>
      </x:c>
      <x:c r="B15" s="60" t="n">
        <x:v>2026</x:v>
      </x:c>
      <x:c r="C15" s="57" t="str">
        <x:v>Civil liberties</x:v>
      </x:c>
      <x:c r="D15" s="57" t="str">
        <x:v>Libertades civiles</x:v>
      </x:c>
      <x:c r="E15" s="60" t="n">
        <x:v>6.279</x:v>
      </x:c>
      <x:c r="F15" s="60" t="n">
        <x:v>6.471</x:v>
      </x:c>
      <x:c r="G15" s="60" t="n">
        <x:v>6.662</x:v>
      </x:c>
      <x:c r="H15" s="60" t="n">
        <x:v>10000</x:v>
      </x:c>
    </x:row>
    <x:row r="16" ht="15" hidden="0" customHeight="1">
      <x:c r="A16" s="58" t="str">
        <x:v>recuperacion_institucional</x:v>
      </x:c>
      <x:c r="B16" s="59" t="n">
        <x:v>2027</x:v>
      </x:c>
      <x:c r="C16" s="58" t="str">
        <x:v>Electoral process and pluralism</x:v>
      </x:c>
      <x:c r="D16" s="58" t="str">
        <x:v>Proceso electoral y pluralismo</x:v>
      </x:c>
      <x:c r="E16" s="59" t="n">
        <x:v>8.908</x:v>
      </x:c>
      <x:c r="F16" s="59" t="n">
        <x:v>9.04</x:v>
      </x:c>
      <x:c r="G16" s="59" t="n">
        <x:v>9.173</x:v>
      </x:c>
      <x:c r="H16" s="59" t="n">
        <x:v>10000</x:v>
      </x:c>
    </x:row>
    <x:row r="17" ht="15" hidden="0" customHeight="1">
      <x:c r="A17" s="57" t="str">
        <x:v>recuperacion_institucional</x:v>
      </x:c>
      <x:c r="B17" s="60" t="n">
        <x:v>2027</x:v>
      </x:c>
      <x:c r="C17" s="57" t="str">
        <x:v>Functioning of government</x:v>
      </x:c>
      <x:c r="D17" s="57" t="str">
        <x:v>Funcionamiento del gobierno</x:v>
      </x:c>
      <x:c r="E17" s="60" t="n">
        <x:v>6.101</x:v>
      </x:c>
      <x:c r="F17" s="60" t="n">
        <x:v>6.247</x:v>
      </x:c>
      <x:c r="G17" s="60" t="n">
        <x:v>6.395</x:v>
      </x:c>
      <x:c r="H17" s="60" t="n">
        <x:v>10000</x:v>
      </x:c>
    </x:row>
    <x:row r="18" ht="15" hidden="0" customHeight="1">
      <x:c r="A18" s="58" t="str">
        <x:v>recuperacion_institucional</x:v>
      </x:c>
      <x:c r="B18" s="59" t="n">
        <x:v>2027</x:v>
      </x:c>
      <x:c r="C18" s="58" t="str">
        <x:v>Political participation</x:v>
      </x:c>
      <x:c r="D18" s="58" t="str">
        <x:v>Participación política</x:v>
      </x:c>
      <x:c r="E18" s="59" t="n">
        <x:v>5</x:v>
      </x:c>
      <x:c r="F18" s="59" t="n">
        <x:v>5.213</x:v>
      </x:c>
      <x:c r="G18" s="59" t="n">
        <x:v>5.419</x:v>
      </x:c>
      <x:c r="H18" s="59" t="n">
        <x:v>10000</x:v>
      </x:c>
    </x:row>
    <x:row r="19" ht="15" hidden="0" customHeight="1">
      <x:c r="A19" s="57" t="str">
        <x:v>recuperacion_institucional</x:v>
      </x:c>
      <x:c r="B19" s="60" t="n">
        <x:v>2027</x:v>
      </x:c>
      <x:c r="C19" s="57" t="str">
        <x:v>Political culture</x:v>
      </x:c>
      <x:c r="D19" s="57" t="str">
        <x:v>Cultura política</x:v>
      </x:c>
      <x:c r="E19" s="60" t="n">
        <x:v>2.778</x:v>
      </x:c>
      <x:c r="F19" s="60" t="n">
        <x:v>3.248</x:v>
      </x:c>
      <x:c r="G19" s="60" t="n">
        <x:v>3.726</x:v>
      </x:c>
      <x:c r="H19" s="60" t="n">
        <x:v>10000</x:v>
      </x:c>
    </x:row>
    <x:row r="20" ht="15" hidden="0" customHeight="1">
      <x:c r="A20" s="58" t="str">
        <x:v>recuperacion_institucional</x:v>
      </x:c>
      <x:c r="B20" s="59" t="n">
        <x:v>2027</x:v>
      </x:c>
      <x:c r="C20" s="58" t="str">
        <x:v>Civil liberties</x:v>
      </x:c>
      <x:c r="D20" s="58" t="str">
        <x:v>Libertades civiles</x:v>
      </x:c>
      <x:c r="E20" s="59" t="n">
        <x:v>6.308</x:v>
      </x:c>
      <x:c r="F20" s="59" t="n">
        <x:v>6.521</x:v>
      </x:c>
      <x:c r="G20" s="59" t="n">
        <x:v>6.736</x:v>
      </x:c>
      <x:c r="H20" s="59" t="n">
        <x:v>10000</x:v>
      </x:c>
    </x:row>
    <x:row r="21" ht="15" hidden="0" customHeight="1">
      <x:c r="A21" s="57" t="str">
        <x:v>recuperacion_institucional</x:v>
      </x:c>
      <x:c r="B21" s="60" t="n">
        <x:v>2028</x:v>
      </x:c>
      <x:c r="C21" s="57" t="str">
        <x:v>Electoral process and pluralism</x:v>
      </x:c>
      <x:c r="D21" s="57" t="str">
        <x:v>Proceso electoral y pluralismo</x:v>
      </x:c>
      <x:c r="E21" s="60" t="n">
        <x:v>8.932</x:v>
      </x:c>
      <x:c r="F21" s="60" t="n">
        <x:v>9.076</x:v>
      </x:c>
      <x:c r="G21" s="60" t="n">
        <x:v>9.22</x:v>
      </x:c>
      <x:c r="H21" s="60" t="n">
        <x:v>10000</x:v>
      </x:c>
    </x:row>
    <x:row r="22" ht="15" hidden="0" customHeight="1">
      <x:c r="A22" s="58" t="str">
        <x:v>recuperacion_institucional</x:v>
      </x:c>
      <x:c r="B22" s="59" t="n">
        <x:v>2028</x:v>
      </x:c>
      <x:c r="C22" s="58" t="str">
        <x:v>Functioning of government</x:v>
      </x:c>
      <x:c r="D22" s="58" t="str">
        <x:v>Funcionamiento del gobierno</x:v>
      </x:c>
      <x:c r="E22" s="59" t="n">
        <x:v>6.174</x:v>
      </x:c>
      <x:c r="F22" s="59" t="n">
        <x:v>6.338</x:v>
      </x:c>
      <x:c r="G22" s="59" t="n">
        <x:v>6.501</x:v>
      </x:c>
      <x:c r="H22" s="59" t="n">
        <x:v>10000</x:v>
      </x:c>
    </x:row>
    <x:row r="23" ht="15" hidden="0" customHeight="1">
      <x:c r="A23" s="57" t="str">
        <x:v>recuperacion_institucional</x:v>
      </x:c>
      <x:c r="B23" s="60" t="n">
        <x:v>2028</x:v>
      </x:c>
      <x:c r="C23" s="57" t="str">
        <x:v>Political participation</x:v>
      </x:c>
      <x:c r="D23" s="57" t="str">
        <x:v>Participación política</x:v>
      </x:c>
      <x:c r="E23" s="60" t="n">
        <x:v>5.031</x:v>
      </x:c>
      <x:c r="F23" s="60" t="n">
        <x:v>5.266</x:v>
      </x:c>
      <x:c r="G23" s="60" t="n">
        <x:v>5.496</x:v>
      </x:c>
      <x:c r="H23" s="60" t="n">
        <x:v>10000</x:v>
      </x:c>
    </x:row>
    <x:row r="24" ht="15" hidden="0" customHeight="1">
      <x:c r="A24" s="58" t="str">
        <x:v>recuperacion_institucional</x:v>
      </x:c>
      <x:c r="B24" s="59" t="n">
        <x:v>2028</x:v>
      </x:c>
      <x:c r="C24" s="58" t="str">
        <x:v>Political culture</x:v>
      </x:c>
      <x:c r="D24" s="58" t="str">
        <x:v>Cultura política</x:v>
      </x:c>
      <x:c r="E24" s="59" t="n">
        <x:v>2.799</x:v>
      </x:c>
      <x:c r="F24" s="59" t="n">
        <x:v>3.334</x:v>
      </x:c>
      <x:c r="G24" s="59" t="n">
        <x:v>3.882</x:v>
      </x:c>
      <x:c r="H24" s="59" t="n">
        <x:v>10000</x:v>
      </x:c>
    </x:row>
    <x:row r="25" ht="15" hidden="0" customHeight="1">
      <x:c r="A25" s="57" t="str">
        <x:v>recuperacion_institucional</x:v>
      </x:c>
      <x:c r="B25" s="60" t="n">
        <x:v>2028</x:v>
      </x:c>
      <x:c r="C25" s="57" t="str">
        <x:v>Civil liberties</x:v>
      </x:c>
      <x:c r="D25" s="57" t="str">
        <x:v>Libertades civiles</x:v>
      </x:c>
      <x:c r="E25" s="60" t="n">
        <x:v>6.334</x:v>
      </x:c>
      <x:c r="F25" s="60" t="n">
        <x:v>6.563</x:v>
      </x:c>
      <x:c r="G25" s="60" t="n">
        <x:v>6.799</x:v>
      </x:c>
      <x:c r="H25" s="60" t="n">
        <x:v>10000</x:v>
      </x:c>
    </x:row>
    <x:row r="26" ht="15" hidden="0" customHeight="1">
      <x:c r="A26" s="58" t="str">
        <x:v>recuperacion_institucional</x:v>
      </x:c>
      <x:c r="B26" s="59" t="n">
        <x:v>2029</x:v>
      </x:c>
      <x:c r="C26" s="58" t="str">
        <x:v>Electoral process and pluralism</x:v>
      </x:c>
      <x:c r="D26" s="58" t="str">
        <x:v>Proceso electoral y pluralismo</x:v>
      </x:c>
      <x:c r="E26" s="59" t="n">
        <x:v>8.952</x:v>
      </x:c>
      <x:c r="F26" s="59" t="n">
        <x:v>9.109</x:v>
      </x:c>
      <x:c r="G26" s="59" t="n">
        <x:v>9.263</x:v>
      </x:c>
      <x:c r="H26" s="59" t="n">
        <x:v>10000</x:v>
      </x:c>
    </x:row>
    <x:row r="27" ht="15" hidden="0" customHeight="1">
      <x:c r="A27" s="57" t="str">
        <x:v>recuperacion_institucional</x:v>
      </x:c>
      <x:c r="B27" s="60" t="n">
        <x:v>2029</x:v>
      </x:c>
      <x:c r="C27" s="57" t="str">
        <x:v>Functioning of government</x:v>
      </x:c>
      <x:c r="D27" s="57" t="str">
        <x:v>Funcionamiento del gobierno</x:v>
      </x:c>
      <x:c r="E27" s="60" t="n">
        <x:v>6.234</x:v>
      </x:c>
      <x:c r="F27" s="60" t="n">
        <x:v>6.419</x:v>
      </x:c>
      <x:c r="G27" s="60" t="n">
        <x:v>6.604</x:v>
      </x:c>
      <x:c r="H27" s="60" t="n">
        <x:v>10000</x:v>
      </x:c>
    </x:row>
    <x:row r="28" ht="15" hidden="0" customHeight="1">
      <x:c r="A28" s="58" t="str">
        <x:v>recuperacion_institucional</x:v>
      </x:c>
      <x:c r="B28" s="59" t="n">
        <x:v>2029</x:v>
      </x:c>
      <x:c r="C28" s="58" t="str">
        <x:v>Political participation</x:v>
      </x:c>
      <x:c r="D28" s="58" t="str">
        <x:v>Participación política</x:v>
      </x:c>
      <x:c r="E28" s="59" t="n">
        <x:v>5.061</x:v>
      </x:c>
      <x:c r="F28" s="59" t="n">
        <x:v>5.315</x:v>
      </x:c>
      <x:c r="G28" s="59" t="n">
        <x:v>5.568</x:v>
      </x:c>
      <x:c r="H28" s="59" t="n">
        <x:v>10000</x:v>
      </x:c>
    </x:row>
    <x:row r="29" ht="15" hidden="0" customHeight="1">
      <x:c r="A29" s="57" t="str">
        <x:v>recuperacion_institucional</x:v>
      </x:c>
      <x:c r="B29" s="60" t="n">
        <x:v>2029</x:v>
      </x:c>
      <x:c r="C29" s="57" t="str">
        <x:v>Political culture</x:v>
      </x:c>
      <x:c r="D29" s="57" t="str">
        <x:v>Cultura política</x:v>
      </x:c>
      <x:c r="E29" s="60" t="n">
        <x:v>2.816</x:v>
      </x:c>
      <x:c r="F29" s="60" t="n">
        <x:v>3.426</x:v>
      </x:c>
      <x:c r="G29" s="60" t="n">
        <x:v>4.029</x:v>
      </x:c>
      <x:c r="H29" s="60" t="n">
        <x:v>10000</x:v>
      </x:c>
    </x:row>
    <x:row r="30" ht="15" hidden="0" customHeight="1">
      <x:c r="A30" s="58" t="str">
        <x:v>recuperacion_institucional</x:v>
      </x:c>
      <x:c r="B30" s="59" t="n">
        <x:v>2029</x:v>
      </x:c>
      <x:c r="C30" s="58" t="str">
        <x:v>Civil liberties</x:v>
      </x:c>
      <x:c r="D30" s="58" t="str">
        <x:v>Libertades civiles</x:v>
      </x:c>
      <x:c r="E30" s="59" t="n">
        <x:v>6.35</x:v>
      </x:c>
      <x:c r="F30" s="59" t="n">
        <x:v>6.604</x:v>
      </x:c>
      <x:c r="G30" s="59" t="n">
        <x:v>6.857</x:v>
      </x:c>
      <x:c r="H30" s="59" t="n">
        <x:v>10000</x:v>
      </x:c>
    </x:row>
    <x:row r="31" ht="15" hidden="0" customHeight="1">
      <x:c r="A31" s="57" t="str">
        <x:v>recuperacion_institucional</x:v>
      </x:c>
      <x:c r="B31" s="60" t="n">
        <x:v>2030</x:v>
      </x:c>
      <x:c r="C31" s="57" t="str">
        <x:v>Electoral process and pluralism</x:v>
      </x:c>
      <x:c r="D31" s="57" t="str">
        <x:v>Proceso electoral y pluralismo</x:v>
      </x:c>
      <x:c r="E31" s="60" t="n">
        <x:v>8.966</x:v>
      </x:c>
      <x:c r="F31" s="60" t="n">
        <x:v>9.137</x:v>
      </x:c>
      <x:c r="G31" s="60" t="n">
        <x:v>9.305</x:v>
      </x:c>
      <x:c r="H31" s="60" t="n">
        <x:v>10000</x:v>
      </x:c>
    </x:row>
    <x:row r="32" ht="15" hidden="0" customHeight="1">
      <x:c r="A32" s="58" t="str">
        <x:v>recuperacion_institucional</x:v>
      </x:c>
      <x:c r="B32" s="59" t="n">
        <x:v>2030</x:v>
      </x:c>
      <x:c r="C32" s="58" t="str">
        <x:v>Functioning of government</x:v>
      </x:c>
      <x:c r="D32" s="58" t="str">
        <x:v>Funcionamiento del gobierno</x:v>
      </x:c>
      <x:c r="E32" s="59" t="n">
        <x:v>6.282</x:v>
      </x:c>
      <x:c r="F32" s="59" t="n">
        <x:v>6.489</x:v>
      </x:c>
      <x:c r="G32" s="59" t="n">
        <x:v>6.693</x:v>
      </x:c>
      <x:c r="H32" s="59" t="n">
        <x:v>10000</x:v>
      </x:c>
    </x:row>
    <x:row r="33" ht="15" hidden="0" customHeight="1">
      <x:c r="A33" s="57" t="str">
        <x:v>recuperacion_institucional</x:v>
      </x:c>
      <x:c r="B33" s="60" t="n">
        <x:v>2030</x:v>
      </x:c>
      <x:c r="C33" s="57" t="str">
        <x:v>Political participation</x:v>
      </x:c>
      <x:c r="D33" s="57" t="str">
        <x:v>Participación política</x:v>
      </x:c>
      <x:c r="E33" s="60" t="n">
        <x:v>5.083</x:v>
      </x:c>
      <x:c r="F33" s="60" t="n">
        <x:v>5.356</x:v>
      </x:c>
      <x:c r="G33" s="60" t="n">
        <x:v>5.627</x:v>
      </x:c>
      <x:c r="H33" s="60" t="n">
        <x:v>10000</x:v>
      </x:c>
    </x:row>
    <x:row r="34" ht="15" hidden="0" customHeight="1">
      <x:c r="A34" s="58" t="str">
        <x:v>recuperacion_institucional</x:v>
      </x:c>
      <x:c r="B34" s="59" t="n">
        <x:v>2030</x:v>
      </x:c>
      <x:c r="C34" s="58" t="str">
        <x:v>Political culture</x:v>
      </x:c>
      <x:c r="D34" s="58" t="str">
        <x:v>Cultura política</x:v>
      </x:c>
      <x:c r="E34" s="59" t="n">
        <x:v>2.832</x:v>
      </x:c>
      <x:c r="F34" s="59" t="n">
        <x:v>3.499</x:v>
      </x:c>
      <x:c r="G34" s="59" t="n">
        <x:v>4.146</x:v>
      </x:c>
      <x:c r="H34" s="59" t="n">
        <x:v>10000</x:v>
      </x:c>
    </x:row>
    <x:row r="35" ht="15" hidden="0" customHeight="1">
      <x:c r="A35" s="57" t="str">
        <x:v>recuperacion_institucional</x:v>
      </x:c>
      <x:c r="B35" s="60" t="n">
        <x:v>2030</x:v>
      </x:c>
      <x:c r="C35" s="57" t="str">
        <x:v>Civil liberties</x:v>
      </x:c>
      <x:c r="D35" s="57" t="str">
        <x:v>Libertades civiles</x:v>
      </x:c>
      <x:c r="E35" s="60" t="n">
        <x:v>6.369</x:v>
      </x:c>
      <x:c r="F35" s="60" t="n">
        <x:v>6.638</x:v>
      </x:c>
      <x:c r="G35" s="60" t="n">
        <x:v>6.91</x:v>
      </x:c>
      <x:c r="H35" s="60" t="n">
        <x:v>10000</x:v>
      </x:c>
    </x:row>
    <x:row r="36" ht="15" hidden="0" customHeight="1">
      <x:c r="A36" s="58" t="str">
        <x:v>continuidad_hibrida</x:v>
      </x:c>
      <x:c r="B36" s="59" t="n">
        <x:v>2025</x:v>
      </x:c>
      <x:c r="C36" s="58" t="str">
        <x:v>Electoral process and pluralism</x:v>
      </x:c>
      <x:c r="D36" s="58" t="str">
        <x:v>Proceso electoral y pluralismo</x:v>
      </x:c>
      <x:c r="E36" s="59" t="n">
        <x:v>8.772</x:v>
      </x:c>
      <x:c r="F36" s="59" t="n">
        <x:v>8.879</x:v>
      </x:c>
      <x:c r="G36" s="59" t="n">
        <x:v>8.987</x:v>
      </x:c>
      <x:c r="H36" s="59" t="n">
        <x:v>10000</x:v>
      </x:c>
    </x:row>
    <x:row r="37" ht="15" hidden="0" customHeight="1">
      <x:c r="A37" s="57" t="str">
        <x:v>continuidad_hibrida</x:v>
      </x:c>
      <x:c r="B37" s="60" t="n">
        <x:v>2025</x:v>
      </x:c>
      <x:c r="C37" s="57" t="str">
        <x:v>Functioning of government</x:v>
      </x:c>
      <x:c r="D37" s="57" t="str">
        <x:v>Funcionamiento del gobierno</x:v>
      </x:c>
      <x:c r="E37" s="60" t="n">
        <x:v>5.914</x:v>
      </x:c>
      <x:c r="F37" s="60" t="n">
        <x:v>6.03</x:v>
      </x:c>
      <x:c r="G37" s="60" t="n">
        <x:v>6.143</x:v>
      </x:c>
      <x:c r="H37" s="60" t="n">
        <x:v>10000</x:v>
      </x:c>
    </x:row>
    <x:row r="38" ht="15" hidden="0" customHeight="1">
      <x:c r="A38" s="58" t="str">
        <x:v>continuidad_hibrida</x:v>
      </x:c>
      <x:c r="B38" s="59" t="n">
        <x:v>2025</x:v>
      </x:c>
      <x:c r="C38" s="58" t="str">
        <x:v>Political participation</x:v>
      </x:c>
      <x:c r="D38" s="58" t="str">
        <x:v>Participación política</x:v>
      </x:c>
      <x:c r="E38" s="59" t="n">
        <x:v>4.906</x:v>
      </x:c>
      <x:c r="F38" s="59" t="n">
        <x:v>5.07</x:v>
      </x:c>
      <x:c r="G38" s="59" t="n">
        <x:v>5.237</x:v>
      </x:c>
      <x:c r="H38" s="59" t="n">
        <x:v>10000</x:v>
      </x:c>
    </x:row>
    <x:row r="39" ht="15" hidden="0" customHeight="1">
      <x:c r="A39" s="57" t="str">
        <x:v>continuidad_hibrida</x:v>
      </x:c>
      <x:c r="B39" s="60" t="n">
        <x:v>2025</x:v>
      </x:c>
      <x:c r="C39" s="57" t="str">
        <x:v>Political culture</x:v>
      </x:c>
      <x:c r="D39" s="57" t="str">
        <x:v>Cultura política</x:v>
      </x:c>
      <x:c r="E39" s="60" t="n">
        <x:v>2.692</x:v>
      </x:c>
      <x:c r="F39" s="60" t="n">
        <x:v>2.999</x:v>
      </x:c>
      <x:c r="G39" s="60" t="n">
        <x:v>3.308</x:v>
      </x:c>
      <x:c r="H39" s="60" t="n">
        <x:v>10000</x:v>
      </x:c>
    </x:row>
    <x:row r="40" ht="15" hidden="0" customHeight="1">
      <x:c r="A40" s="58" t="str">
        <x:v>continuidad_hibrida</x:v>
      </x:c>
      <x:c r="B40" s="59" t="n">
        <x:v>2025</x:v>
      </x:c>
      <x:c r="C40" s="58" t="str">
        <x:v>Civil liberties</x:v>
      </x:c>
      <x:c r="D40" s="58" t="str">
        <x:v>Libertades civiles</x:v>
      </x:c>
      <x:c r="E40" s="59" t="n">
        <x:v>6.252</x:v>
      </x:c>
      <x:c r="F40" s="59" t="n">
        <x:v>6.422</x:v>
      </x:c>
      <x:c r="G40" s="59" t="n">
        <x:v>6.586</x:v>
      </x:c>
      <x:c r="H40" s="59" t="n">
        <x:v>10000</x:v>
      </x:c>
    </x:row>
    <x:row r="41" ht="15" hidden="0" customHeight="1">
      <x:c r="A41" s="57" t="str">
        <x:v>continuidad_hibrida</x:v>
      </x:c>
      <x:c r="B41" s="60" t="n">
        <x:v>2026</x:v>
      </x:c>
      <x:c r="C41" s="57" t="str">
        <x:v>Electoral process and pluralism</x:v>
      </x:c>
      <x:c r="D41" s="57" t="str">
        <x:v>Proceso electoral y pluralismo</x:v>
      </x:c>
      <x:c r="E41" s="60" t="n">
        <x:v>8.831</x:v>
      </x:c>
      <x:c r="F41" s="60" t="n">
        <x:v>8.953</x:v>
      </x:c>
      <x:c r="G41" s="60" t="n">
        <x:v>9.075</x:v>
      </x:c>
      <x:c r="H41" s="60" t="n">
        <x:v>10000</x:v>
      </x:c>
    </x:row>
    <x:row r="42" ht="15" hidden="0" customHeight="1">
      <x:c r="A42" s="58" t="str">
        <x:v>continuidad_hibrida</x:v>
      </x:c>
      <x:c r="B42" s="59" t="n">
        <x:v>2026</x:v>
      </x:c>
      <x:c r="C42" s="58" t="str">
        <x:v>Functioning of government</x:v>
      </x:c>
      <x:c r="D42" s="58" t="str">
        <x:v>Funcionamiento del gobierno</x:v>
      </x:c>
      <x:c r="E42" s="59" t="n">
        <x:v>5.834</x:v>
      </x:c>
      <x:c r="F42" s="59" t="n">
        <x:v>5.967</x:v>
      </x:c>
      <x:c r="G42" s="59" t="n">
        <x:v>6.103</x:v>
      </x:c>
      <x:c r="H42" s="59" t="n">
        <x:v>10000</x:v>
      </x:c>
    </x:row>
    <x:row r="43" ht="15" hidden="0" customHeight="1">
      <x:c r="A43" s="57" t="str">
        <x:v>continuidad_hibrida</x:v>
      </x:c>
      <x:c r="B43" s="60" t="n">
        <x:v>2026</x:v>
      </x:c>
      <x:c r="C43" s="57" t="str">
        <x:v>Political participation</x:v>
      </x:c>
      <x:c r="D43" s="57" t="str">
        <x:v>Participación política</x:v>
      </x:c>
      <x:c r="E43" s="60" t="n">
        <x:v>4.94</x:v>
      </x:c>
      <x:c r="F43" s="60" t="n">
        <x:v>5.128</x:v>
      </x:c>
      <x:c r="G43" s="60" t="n">
        <x:v>5.315</x:v>
      </x:c>
      <x:c r="H43" s="60" t="n">
        <x:v>10000</x:v>
      </x:c>
    </x:row>
    <x:row r="44" ht="15" hidden="0" customHeight="1">
      <x:c r="A44" s="58" t="str">
        <x:v>continuidad_hibrida</x:v>
      </x:c>
      <x:c r="B44" s="59" t="n">
        <x:v>2026</x:v>
      </x:c>
      <x:c r="C44" s="58" t="str">
        <x:v>Political culture</x:v>
      </x:c>
      <x:c r="D44" s="58" t="str">
        <x:v>Cultura política</x:v>
      </x:c>
      <x:c r="E44" s="59" t="n">
        <x:v>2.498</x:v>
      </x:c>
      <x:c r="F44" s="59" t="n">
        <x:v>2.895</x:v>
      </x:c>
      <x:c r="G44" s="59" t="n">
        <x:v>3.303</x:v>
      </x:c>
      <x:c r="H44" s="59" t="n">
        <x:v>10000</x:v>
      </x:c>
    </x:row>
    <x:row r="45" ht="15" hidden="0" customHeight="1">
      <x:c r="A45" s="57" t="str">
        <x:v>continuidad_hibrida</x:v>
      </x:c>
      <x:c r="B45" s="60" t="n">
        <x:v>2026</x:v>
      </x:c>
      <x:c r="C45" s="57" t="str">
        <x:v>Civil liberties</x:v>
      </x:c>
      <x:c r="D45" s="57" t="str">
        <x:v>Libertades civiles</x:v>
      </x:c>
      <x:c r="E45" s="60" t="n">
        <x:v>6.148</x:v>
      </x:c>
      <x:c r="F45" s="60" t="n">
        <x:v>6.341</x:v>
      </x:c>
      <x:c r="G45" s="60" t="n">
        <x:v>6.532</x:v>
      </x:c>
      <x:c r="H45" s="60" t="n">
        <x:v>10000</x:v>
      </x:c>
    </x:row>
    <x:row r="46" ht="15" hidden="0" customHeight="1">
      <x:c r="A46" s="58" t="str">
        <x:v>continuidad_hibrida</x:v>
      </x:c>
      <x:c r="B46" s="59" t="n">
        <x:v>2027</x:v>
      </x:c>
      <x:c r="C46" s="58" t="str">
        <x:v>Electoral process and pluralism</x:v>
      </x:c>
      <x:c r="D46" s="58" t="str">
        <x:v>Proceso electoral y pluralismo</x:v>
      </x:c>
      <x:c r="E46" s="59" t="n">
        <x:v>8.821</x:v>
      </x:c>
      <x:c r="F46" s="59" t="n">
        <x:v>8.952</x:v>
      </x:c>
      <x:c r="G46" s="59" t="n">
        <x:v>9.087</x:v>
      </x:c>
      <x:c r="H46" s="59" t="n">
        <x:v>10000</x:v>
      </x:c>
    </x:row>
    <x:row r="47" ht="15" hidden="0" customHeight="1">
      <x:c r="A47" s="57" t="str">
        <x:v>continuidad_hibrida</x:v>
      </x:c>
      <x:c r="B47" s="60" t="n">
        <x:v>2027</x:v>
      </x:c>
      <x:c r="C47" s="57" t="str">
        <x:v>Functioning of government</x:v>
      </x:c>
      <x:c r="D47" s="57" t="str">
        <x:v>Funcionamiento del gobierno</x:v>
      </x:c>
      <x:c r="E47" s="60" t="n">
        <x:v>5.831</x:v>
      </x:c>
      <x:c r="F47" s="60" t="n">
        <x:v>5.978</x:v>
      </x:c>
      <x:c r="G47" s="60" t="n">
        <x:v>6.125</x:v>
      </x:c>
      <x:c r="H47" s="60" t="n">
        <x:v>10000</x:v>
      </x:c>
    </x:row>
    <x:row r="48" ht="15" hidden="0" customHeight="1">
      <x:c r="A48" s="58" t="str">
        <x:v>continuidad_hibrida</x:v>
      </x:c>
      <x:c r="B48" s="59" t="n">
        <x:v>2027</x:v>
      </x:c>
      <x:c r="C48" s="58" t="str">
        <x:v>Political participation</x:v>
      </x:c>
      <x:c r="D48" s="58" t="str">
        <x:v>Participación política</x:v>
      </x:c>
      <x:c r="E48" s="59" t="n">
        <x:v>4.937</x:v>
      </x:c>
      <x:c r="F48" s="59" t="n">
        <x:v>5.149</x:v>
      </x:c>
      <x:c r="G48" s="59" t="n">
        <x:v>5.357</x:v>
      </x:c>
      <x:c r="H48" s="59" t="n">
        <x:v>10000</x:v>
      </x:c>
    </x:row>
    <x:row r="49" ht="15" hidden="0" customHeight="1">
      <x:c r="A49" s="57" t="str">
        <x:v>continuidad_hibrida</x:v>
      </x:c>
      <x:c r="B49" s="60" t="n">
        <x:v>2027</x:v>
      </x:c>
      <x:c r="C49" s="57" t="str">
        <x:v>Political culture</x:v>
      </x:c>
      <x:c r="D49" s="57" t="str">
        <x:v>Cultura política</x:v>
      </x:c>
      <x:c r="E49" s="60" t="n">
        <x:v>2.428</x:v>
      </x:c>
      <x:c r="F49" s="60" t="n">
        <x:v>2.899</x:v>
      </x:c>
      <x:c r="G49" s="60" t="n">
        <x:v>3.376</x:v>
      </x:c>
      <x:c r="H49" s="60" t="n">
        <x:v>10000</x:v>
      </x:c>
    </x:row>
    <x:row r="50" ht="15" hidden="0" customHeight="1">
      <x:c r="A50" s="58" t="str">
        <x:v>continuidad_hibrida</x:v>
      </x:c>
      <x:c r="B50" s="59" t="n">
        <x:v>2027</x:v>
      </x:c>
      <x:c r="C50" s="58" t="str">
        <x:v>Civil liberties</x:v>
      </x:c>
      <x:c r="D50" s="58" t="str">
        <x:v>Libertades civiles</x:v>
      </x:c>
      <x:c r="E50" s="59" t="n">
        <x:v>6.116</x:v>
      </x:c>
      <x:c r="F50" s="59" t="n">
        <x:v>6.33</x:v>
      </x:c>
      <x:c r="G50" s="59" t="n">
        <x:v>6.547</x:v>
      </x:c>
      <x:c r="H50" s="59" t="n">
        <x:v>10000</x:v>
      </x:c>
    </x:row>
    <x:row r="51" ht="15" hidden="0" customHeight="1">
      <x:c r="A51" s="57" t="str">
        <x:v>continuidad_hibrida</x:v>
      </x:c>
      <x:c r="B51" s="60" t="n">
        <x:v>2028</x:v>
      </x:c>
      <x:c r="C51" s="57" t="str">
        <x:v>Electoral process and pluralism</x:v>
      </x:c>
      <x:c r="D51" s="57" t="str">
        <x:v>Proceso electoral y pluralismo</x:v>
      </x:c>
      <x:c r="E51" s="60" t="n">
        <x:v>8.81</x:v>
      </x:c>
      <x:c r="F51" s="60" t="n">
        <x:v>8.953</x:v>
      </x:c>
      <x:c r="G51" s="60" t="n">
        <x:v>9.096</x:v>
      </x:c>
      <x:c r="H51" s="60" t="n">
        <x:v>10000</x:v>
      </x:c>
    </x:row>
    <x:row r="52" ht="15" hidden="0" customHeight="1">
      <x:c r="A52" s="58" t="str">
        <x:v>continuidad_hibrida</x:v>
      </x:c>
      <x:c r="B52" s="59" t="n">
        <x:v>2028</x:v>
      </x:c>
      <x:c r="C52" s="58" t="str">
        <x:v>Functioning of government</x:v>
      </x:c>
      <x:c r="D52" s="58" t="str">
        <x:v>Funcionamiento del gobierno</x:v>
      </x:c>
      <x:c r="E52" s="59" t="n">
        <x:v>5.826</x:v>
      </x:c>
      <x:c r="F52" s="59" t="n">
        <x:v>5.987</x:v>
      </x:c>
      <x:c r="G52" s="59" t="n">
        <x:v>6.146</x:v>
      </x:c>
      <x:c r="H52" s="59" t="n">
        <x:v>10000</x:v>
      </x:c>
    </x:row>
    <x:row r="53" ht="15" hidden="0" customHeight="1">
      <x:c r="A53" s="57" t="str">
        <x:v>continuidad_hibrida</x:v>
      </x:c>
      <x:c r="B53" s="60" t="n">
        <x:v>2028</x:v>
      </x:c>
      <x:c r="C53" s="57" t="str">
        <x:v>Political participation</x:v>
      </x:c>
      <x:c r="D53" s="57" t="str">
        <x:v>Participación política</x:v>
      </x:c>
      <x:c r="E53" s="60" t="n">
        <x:v>4.93</x:v>
      </x:c>
      <x:c r="F53" s="60" t="n">
        <x:v>5.167</x:v>
      </x:c>
      <x:c r="G53" s="60" t="n">
        <x:v>5.396</x:v>
      </x:c>
      <x:c r="H53" s="60" t="n">
        <x:v>10000</x:v>
      </x:c>
    </x:row>
    <x:row r="54" ht="15" hidden="0" customHeight="1">
      <x:c r="A54" s="58" t="str">
        <x:v>continuidad_hibrida</x:v>
      </x:c>
      <x:c r="B54" s="59" t="n">
        <x:v>2028</x:v>
      </x:c>
      <x:c r="C54" s="58" t="str">
        <x:v>Political culture</x:v>
      </x:c>
      <x:c r="D54" s="58" t="str">
        <x:v>Cultura política</x:v>
      </x:c>
      <x:c r="E54" s="59" t="n">
        <x:v>2.361</x:v>
      </x:c>
      <x:c r="F54" s="59" t="n">
        <x:v>2.894</x:v>
      </x:c>
      <x:c r="G54" s="59" t="n">
        <x:v>3.439</x:v>
      </x:c>
      <x:c r="H54" s="59" t="n">
        <x:v>10000</x:v>
      </x:c>
    </x:row>
    <x:row r="55" ht="15" hidden="0" customHeight="1">
      <x:c r="A55" s="57" t="str">
        <x:v>continuidad_hibrida</x:v>
      </x:c>
      <x:c r="B55" s="60" t="n">
        <x:v>2028</x:v>
      </x:c>
      <x:c r="C55" s="57" t="str">
        <x:v>Civil liberties</x:v>
      </x:c>
      <x:c r="D55" s="57" t="str">
        <x:v>Libertades civiles</x:v>
      </x:c>
      <x:c r="E55" s="60" t="n">
        <x:v>6.089</x:v>
      </x:c>
      <x:c r="F55" s="60" t="n">
        <x:v>6.319</x:v>
      </x:c>
      <x:c r="G55" s="60" t="n">
        <x:v>6.555</x:v>
      </x:c>
      <x:c r="H55" s="60" t="n">
        <x:v>10000</x:v>
      </x:c>
    </x:row>
    <x:row r="56" ht="15" hidden="0" customHeight="1">
      <x:c r="A56" s="58" t="str">
        <x:v>continuidad_hibrida</x:v>
      </x:c>
      <x:c r="B56" s="59" t="n">
        <x:v>2029</x:v>
      </x:c>
      <x:c r="C56" s="58" t="str">
        <x:v>Electoral process and pluralism</x:v>
      </x:c>
      <x:c r="D56" s="58" t="str">
        <x:v>Proceso electoral y pluralismo</x:v>
      </x:c>
      <x:c r="E56" s="59" t="n">
        <x:v>8.798</x:v>
      </x:c>
      <x:c r="F56" s="59" t="n">
        <x:v>8.954</x:v>
      </x:c>
      <x:c r="G56" s="59" t="n">
        <x:v>9.106</x:v>
      </x:c>
      <x:c r="H56" s="59" t="n">
        <x:v>10000</x:v>
      </x:c>
    </x:row>
    <x:row r="57" ht="15" hidden="0" customHeight="1">
      <x:c r="A57" s="57" t="str">
        <x:v>continuidad_hibrida</x:v>
      </x:c>
      <x:c r="B57" s="60" t="n">
        <x:v>2029</x:v>
      </x:c>
      <x:c r="C57" s="57" t="str">
        <x:v>Functioning of government</x:v>
      </x:c>
      <x:c r="D57" s="57" t="str">
        <x:v>Funcionamiento del gobierno</x:v>
      </x:c>
      <x:c r="E57" s="60" t="n">
        <x:v>5.822</x:v>
      </x:c>
      <x:c r="F57" s="60" t="n">
        <x:v>5.996</x:v>
      </x:c>
      <x:c r="G57" s="60" t="n">
        <x:v>6.169</x:v>
      </x:c>
      <x:c r="H57" s="60" t="n">
        <x:v>10000</x:v>
      </x:c>
    </x:row>
    <x:row r="58" ht="15" hidden="0" customHeight="1">
      <x:c r="A58" s="58" t="str">
        <x:v>continuidad_hibrida</x:v>
      </x:c>
      <x:c r="B58" s="59" t="n">
        <x:v>2029</x:v>
      </x:c>
      <x:c r="C58" s="58" t="str">
        <x:v>Political participation</x:v>
      </x:c>
      <x:c r="D58" s="58" t="str">
        <x:v>Participación política</x:v>
      </x:c>
      <x:c r="E58" s="59" t="n">
        <x:v>4.928</x:v>
      </x:c>
      <x:c r="F58" s="59" t="n">
        <x:v>5.183</x:v>
      </x:c>
      <x:c r="G58" s="59" t="n">
        <x:v>5.435</x:v>
      </x:c>
      <x:c r="H58" s="59" t="n">
        <x:v>10000</x:v>
      </x:c>
    </x:row>
    <x:row r="59" ht="15" hidden="0" customHeight="1">
      <x:c r="A59" s="57" t="str">
        <x:v>continuidad_hibrida</x:v>
      </x:c>
      <x:c r="B59" s="60" t="n">
        <x:v>2029</x:v>
      </x:c>
      <x:c r="C59" s="57" t="str">
        <x:v>Political culture</x:v>
      </x:c>
      <x:c r="D59" s="57" t="str">
        <x:v>Cultura política</x:v>
      </x:c>
      <x:c r="E59" s="60" t="n">
        <x:v>2.297</x:v>
      </x:c>
      <x:c r="F59" s="60" t="n">
        <x:v>2.909</x:v>
      </x:c>
      <x:c r="G59" s="60" t="n">
        <x:v>3.503</x:v>
      </x:c>
      <x:c r="H59" s="60" t="n">
        <x:v>10000</x:v>
      </x:c>
    </x:row>
    <x:row r="60" ht="15" hidden="0" customHeight="1">
      <x:c r="A60" s="58" t="str">
        <x:v>continuidad_hibrida</x:v>
      </x:c>
      <x:c r="B60" s="59" t="n">
        <x:v>2029</x:v>
      </x:c>
      <x:c r="C60" s="58" t="str">
        <x:v>Civil liberties</x:v>
      </x:c>
      <x:c r="D60" s="58" t="str">
        <x:v>Libertades civiles</x:v>
      </x:c>
      <x:c r="E60" s="59" t="n">
        <x:v>6.057</x:v>
      </x:c>
      <x:c r="F60" s="59" t="n">
        <x:v>6.314</x:v>
      </x:c>
      <x:c r="G60" s="59" t="n">
        <x:v>6.566</x:v>
      </x:c>
      <x:c r="H60" s="59" t="n">
        <x:v>10000</x:v>
      </x:c>
    </x:row>
    <x:row r="61" ht="15" hidden="0" customHeight="1">
      <x:c r="A61" s="57" t="str">
        <x:v>continuidad_hibrida</x:v>
      </x:c>
      <x:c r="B61" s="60" t="n">
        <x:v>2030</x:v>
      </x:c>
      <x:c r="C61" s="57" t="str">
        <x:v>Electoral process and pluralism</x:v>
      </x:c>
      <x:c r="D61" s="57" t="str">
        <x:v>Proceso electoral y pluralismo</x:v>
      </x:c>
      <x:c r="E61" s="60" t="n">
        <x:v>8.789</x:v>
      </x:c>
      <x:c r="F61" s="60" t="n">
        <x:v>8.955</x:v>
      </x:c>
      <x:c r="G61" s="60" t="n">
        <x:v>9.119</x:v>
      </x:c>
      <x:c r="H61" s="60" t="n">
        <x:v>10000</x:v>
      </x:c>
    </x:row>
    <x:row r="62" ht="15" hidden="0" customHeight="1">
      <x:c r="A62" s="58" t="str">
        <x:v>continuidad_hibrida</x:v>
      </x:c>
      <x:c r="B62" s="59" t="n">
        <x:v>2030</x:v>
      </x:c>
      <x:c r="C62" s="58" t="str">
        <x:v>Functioning of government</x:v>
      </x:c>
      <x:c r="D62" s="58" t="str">
        <x:v>Funcionamiento del gobierno</x:v>
      </x:c>
      <x:c r="E62" s="59" t="n">
        <x:v>5.816</x:v>
      </x:c>
      <x:c r="F62" s="59" t="n">
        <x:v>6.002</x:v>
      </x:c>
      <x:c r="G62" s="59" t="n">
        <x:v>6.191</x:v>
      </x:c>
      <x:c r="H62" s="59" t="n">
        <x:v>10000</x:v>
      </x:c>
    </x:row>
    <x:row r="63" ht="15" hidden="0" customHeight="1">
      <x:c r="A63" s="57" t="str">
        <x:v>continuidad_hibrida</x:v>
      </x:c>
      <x:c r="B63" s="60" t="n">
        <x:v>2030</x:v>
      </x:c>
      <x:c r="C63" s="57" t="str">
        <x:v>Political participation</x:v>
      </x:c>
      <x:c r="D63" s="57" t="str">
        <x:v>Participación política</x:v>
      </x:c>
      <x:c r="E63" s="60" t="n">
        <x:v>4.923</x:v>
      </x:c>
      <x:c r="F63" s="60" t="n">
        <x:v>5.197</x:v>
      </x:c>
      <x:c r="G63" s="60" t="n">
        <x:v>5.467</x:v>
      </x:c>
      <x:c r="H63" s="60" t="n">
        <x:v>10000</x:v>
      </x:c>
    </x:row>
    <x:row r="64" ht="15" hidden="0" customHeight="1">
      <x:c r="A64" s="58" t="str">
        <x:v>continuidad_hibrida</x:v>
      </x:c>
      <x:c r="B64" s="59" t="n">
        <x:v>2030</x:v>
      </x:c>
      <x:c r="C64" s="58" t="str">
        <x:v>Political culture</x:v>
      </x:c>
      <x:c r="D64" s="58" t="str">
        <x:v>Cultura política</x:v>
      </x:c>
      <x:c r="E64" s="59" t="n">
        <x:v>2.244</x:v>
      </x:c>
      <x:c r="F64" s="59" t="n">
        <x:v>2.908</x:v>
      </x:c>
      <x:c r="G64" s="59" t="n">
        <x:v>3.554</x:v>
      </x:c>
      <x:c r="H64" s="59" t="n">
        <x:v>10000</x:v>
      </x:c>
    </x:row>
    <x:row r="65" ht="15" hidden="0" customHeight="1">
      <x:c r="A65" s="57" t="str">
        <x:v>continuidad_hibrida</x:v>
      </x:c>
      <x:c r="B65" s="60" t="n">
        <x:v>2030</x:v>
      </x:c>
      <x:c r="C65" s="57" t="str">
        <x:v>Civil liberties</x:v>
      </x:c>
      <x:c r="D65" s="57" t="str">
        <x:v>Libertades civiles</x:v>
      </x:c>
      <x:c r="E65" s="60" t="n">
        <x:v>6.033</x:v>
      </x:c>
      <x:c r="F65" s="60" t="n">
        <x:v>6.304</x:v>
      </x:c>
      <x:c r="G65" s="60" t="n">
        <x:v>6.578</x:v>
      </x:c>
      <x:c r="H65" s="60" t="n">
        <x:v>10000</x:v>
      </x:c>
    </x:row>
    <x:row r="66" ht="15" hidden="0" customHeight="1">
      <x:c r="A66" s="58" t="str">
        <x:v>deriva_restrictiva</x:v>
      </x:c>
      <x:c r="B66" s="59" t="n">
        <x:v>2025</x:v>
      </x:c>
      <x:c r="C66" s="58" t="str">
        <x:v>Electoral process and pluralism</x:v>
      </x:c>
      <x:c r="D66" s="58" t="str">
        <x:v>Proceso electoral y pluralismo</x:v>
      </x:c>
      <x:c r="E66" s="59" t="n">
        <x:v>8.772</x:v>
      </x:c>
      <x:c r="F66" s="59" t="n">
        <x:v>8.879</x:v>
      </x:c>
      <x:c r="G66" s="59" t="n">
        <x:v>8.987</x:v>
      </x:c>
      <x:c r="H66" s="59" t="n">
        <x:v>10000</x:v>
      </x:c>
    </x:row>
    <x:row r="67" ht="15" hidden="0" customHeight="1">
      <x:c r="A67" s="57" t="str">
        <x:v>deriva_restrictiva</x:v>
      </x:c>
      <x:c r="B67" s="60" t="n">
        <x:v>2025</x:v>
      </x:c>
      <x:c r="C67" s="57" t="str">
        <x:v>Functioning of government</x:v>
      </x:c>
      <x:c r="D67" s="57" t="str">
        <x:v>Funcionamiento del gobierno</x:v>
      </x:c>
      <x:c r="E67" s="60" t="n">
        <x:v>5.914</x:v>
      </x:c>
      <x:c r="F67" s="60" t="n">
        <x:v>6.03</x:v>
      </x:c>
      <x:c r="G67" s="60" t="n">
        <x:v>6.143</x:v>
      </x:c>
      <x:c r="H67" s="60" t="n">
        <x:v>10000</x:v>
      </x:c>
    </x:row>
    <x:row r="68" ht="15" hidden="0" customHeight="1">
      <x:c r="A68" s="58" t="str">
        <x:v>deriva_restrictiva</x:v>
      </x:c>
      <x:c r="B68" s="59" t="n">
        <x:v>2025</x:v>
      </x:c>
      <x:c r="C68" s="58" t="str">
        <x:v>Political participation</x:v>
      </x:c>
      <x:c r="D68" s="58" t="str">
        <x:v>Participación política</x:v>
      </x:c>
      <x:c r="E68" s="59" t="n">
        <x:v>4.906</x:v>
      </x:c>
      <x:c r="F68" s="59" t="n">
        <x:v>5.07</x:v>
      </x:c>
      <x:c r="G68" s="59" t="n">
        <x:v>5.237</x:v>
      </x:c>
      <x:c r="H68" s="59" t="n">
        <x:v>10000</x:v>
      </x:c>
    </x:row>
    <x:row r="69" ht="15" hidden="0" customHeight="1">
      <x:c r="A69" s="57" t="str">
        <x:v>deriva_restrictiva</x:v>
      </x:c>
      <x:c r="B69" s="60" t="n">
        <x:v>2025</x:v>
      </x:c>
      <x:c r="C69" s="57" t="str">
        <x:v>Political culture</x:v>
      </x:c>
      <x:c r="D69" s="57" t="str">
        <x:v>Cultura política</x:v>
      </x:c>
      <x:c r="E69" s="60" t="n">
        <x:v>2.692</x:v>
      </x:c>
      <x:c r="F69" s="60" t="n">
        <x:v>2.999</x:v>
      </x:c>
      <x:c r="G69" s="60" t="n">
        <x:v>3.308</x:v>
      </x:c>
      <x:c r="H69" s="60" t="n">
        <x:v>10000</x:v>
      </x:c>
    </x:row>
    <x:row r="70" ht="15" hidden="0" customHeight="1">
      <x:c r="A70" s="58" t="str">
        <x:v>deriva_restrictiva</x:v>
      </x:c>
      <x:c r="B70" s="59" t="n">
        <x:v>2025</x:v>
      </x:c>
      <x:c r="C70" s="58" t="str">
        <x:v>Civil liberties</x:v>
      </x:c>
      <x:c r="D70" s="58" t="str">
        <x:v>Libertades civiles</x:v>
      </x:c>
      <x:c r="E70" s="59" t="n">
        <x:v>6.252</x:v>
      </x:c>
      <x:c r="F70" s="59" t="n">
        <x:v>6.422</x:v>
      </x:c>
      <x:c r="G70" s="59" t="n">
        <x:v>6.586</x:v>
      </x:c>
      <x:c r="H70" s="59" t="n">
        <x:v>10000</x:v>
      </x:c>
    </x:row>
    <x:row r="71" ht="15" hidden="0" customHeight="1">
      <x:c r="A71" s="57" t="str">
        <x:v>deriva_restrictiva</x:v>
      </x:c>
      <x:c r="B71" s="60" t="n">
        <x:v>2026</x:v>
      </x:c>
      <x:c r="C71" s="57" t="str">
        <x:v>Electoral process and pluralism</x:v>
      </x:c>
      <x:c r="D71" s="57" t="str">
        <x:v>Proceso electoral y pluralismo</x:v>
      </x:c>
      <x:c r="E71" s="60" t="n">
        <x:v>8.672</x:v>
      </x:c>
      <x:c r="F71" s="60" t="n">
        <x:v>8.799</x:v>
      </x:c>
      <x:c r="G71" s="60" t="n">
        <x:v>8.928</x:v>
      </x:c>
      <x:c r="H71" s="60" t="n">
        <x:v>10000</x:v>
      </x:c>
    </x:row>
    <x:row r="72" ht="15" hidden="0" customHeight="1">
      <x:c r="A72" s="58" t="str">
        <x:v>deriva_restrictiva</x:v>
      </x:c>
      <x:c r="B72" s="59" t="n">
        <x:v>2026</x:v>
      </x:c>
      <x:c r="C72" s="58" t="str">
        <x:v>Functioning of government</x:v>
      </x:c>
      <x:c r="D72" s="58" t="str">
        <x:v>Funcionamiento del gobierno</x:v>
      </x:c>
      <x:c r="E72" s="59" t="n">
        <x:v>5.688</x:v>
      </x:c>
      <x:c r="F72" s="59" t="n">
        <x:v>5.828</x:v>
      </x:c>
      <x:c r="G72" s="59" t="n">
        <x:v>5.971</x:v>
      </x:c>
      <x:c r="H72" s="59" t="n">
        <x:v>10000</x:v>
      </x:c>
    </x:row>
    <x:row r="73" ht="15" hidden="0" customHeight="1">
      <x:c r="A73" s="57" t="str">
        <x:v>deriva_restrictiva</x:v>
      </x:c>
      <x:c r="B73" s="60" t="n">
        <x:v>2026</x:v>
      </x:c>
      <x:c r="C73" s="57" t="str">
        <x:v>Political participation</x:v>
      </x:c>
      <x:c r="D73" s="57" t="str">
        <x:v>Participación política</x:v>
      </x:c>
      <x:c r="E73" s="60" t="n">
        <x:v>4.831</x:v>
      </x:c>
      <x:c r="F73" s="60" t="n">
        <x:v>5.021</x:v>
      </x:c>
      <x:c r="G73" s="60" t="n">
        <x:v>5.212</x:v>
      </x:c>
      <x:c r="H73" s="60" t="n">
        <x:v>10000</x:v>
      </x:c>
    </x:row>
    <x:row r="74" ht="15" hidden="0" customHeight="1">
      <x:c r="A74" s="58" t="str">
        <x:v>deriva_restrictiva</x:v>
      </x:c>
      <x:c r="B74" s="59" t="n">
        <x:v>2026</x:v>
      </x:c>
      <x:c r="C74" s="58" t="str">
        <x:v>Political culture</x:v>
      </x:c>
      <x:c r="D74" s="58" t="str">
        <x:v>Cultura política</x:v>
      </x:c>
      <x:c r="E74" s="59" t="n">
        <x:v>2.344</x:v>
      </x:c>
      <x:c r="F74" s="59" t="n">
        <x:v>2.744</x:v>
      </x:c>
      <x:c r="G74" s="59" t="n">
        <x:v>3.158</x:v>
      </x:c>
      <x:c r="H74" s="59" t="n">
        <x:v>10000</x:v>
      </x:c>
    </x:row>
    <x:row r="75" ht="15" hidden="0" customHeight="1">
      <x:c r="A75" s="57" t="str">
        <x:v>deriva_restrictiva</x:v>
      </x:c>
      <x:c r="B75" s="60" t="n">
        <x:v>2026</x:v>
      </x:c>
      <x:c r="C75" s="57" t="str">
        <x:v>Civil liberties</x:v>
      </x:c>
      <x:c r="D75" s="57" t="str">
        <x:v>Libertades civiles</x:v>
      </x:c>
      <x:c r="E75" s="60" t="n">
        <x:v>5.938</x:v>
      </x:c>
      <x:c r="F75" s="60" t="n">
        <x:v>6.141</x:v>
      </x:c>
      <x:c r="G75" s="60" t="n">
        <x:v>6.343</x:v>
      </x:c>
      <x:c r="H75" s="60" t="n">
        <x:v>10000</x:v>
      </x:c>
    </x:row>
    <x:row r="76" ht="15" hidden="0" customHeight="1">
      <x:c r="A76" s="58" t="str">
        <x:v>deriva_restrictiva</x:v>
      </x:c>
      <x:c r="B76" s="59" t="n">
        <x:v>2027</x:v>
      </x:c>
      <x:c r="C76" s="58" t="str">
        <x:v>Electoral process and pluralism</x:v>
      </x:c>
      <x:c r="D76" s="58" t="str">
        <x:v>Proceso electoral y pluralismo</x:v>
      </x:c>
      <x:c r="E76" s="59" t="n">
        <x:v>8.621</x:v>
      </x:c>
      <x:c r="F76" s="59" t="n">
        <x:v>8.759</x:v>
      </x:c>
      <x:c r="G76" s="59" t="n">
        <x:v>8.9</x:v>
      </x:c>
      <x:c r="H76" s="59" t="n">
        <x:v>10000</x:v>
      </x:c>
    </x:row>
    <x:row r="77" ht="15" hidden="0" customHeight="1">
      <x:c r="A77" s="57" t="str">
        <x:v>deriva_restrictiva</x:v>
      </x:c>
      <x:c r="B77" s="60" t="n">
        <x:v>2027</x:v>
      </x:c>
      <x:c r="C77" s="57" t="str">
        <x:v>Functioning of government</x:v>
      </x:c>
      <x:c r="D77" s="57" t="str">
        <x:v>Funcionamiento del gobierno</x:v>
      </x:c>
      <x:c r="E77" s="60" t="n">
        <x:v>5.543</x:v>
      </x:c>
      <x:c r="F77" s="60" t="n">
        <x:v>5.698</x:v>
      </x:c>
      <x:c r="G77" s="60" t="n">
        <x:v>5.854</x:v>
      </x:c>
      <x:c r="H77" s="60" t="n">
        <x:v>10000</x:v>
      </x:c>
    </x:row>
    <x:row r="78" ht="15" hidden="0" customHeight="1">
      <x:c r="A78" s="58" t="str">
        <x:v>deriva_restrictiva</x:v>
      </x:c>
      <x:c r="B78" s="59" t="n">
        <x:v>2027</x:v>
      </x:c>
      <x:c r="C78" s="58" t="str">
        <x:v>Political participation</x:v>
      </x:c>
      <x:c r="D78" s="58" t="str">
        <x:v>Participación política</x:v>
      </x:c>
      <x:c r="E78" s="59" t="n">
        <x:v>4.736</x:v>
      </x:c>
      <x:c r="F78" s="59" t="n">
        <x:v>4.953</x:v>
      </x:c>
      <x:c r="G78" s="59" t="n">
        <x:v>5.165</x:v>
      </x:c>
      <x:c r="H78" s="59" t="n">
        <x:v>10000</x:v>
      </x:c>
    </x:row>
    <x:row r="79" ht="15" hidden="0" customHeight="1">
      <x:c r="A79" s="57" t="str">
        <x:v>deriva_restrictiva</x:v>
      </x:c>
      <x:c r="B79" s="60" t="n">
        <x:v>2027</x:v>
      </x:c>
      <x:c r="C79" s="57" t="str">
        <x:v>Political culture</x:v>
      </x:c>
      <x:c r="D79" s="57" t="str">
        <x:v>Cultura política</x:v>
      </x:c>
      <x:c r="E79" s="60" t="n">
        <x:v>2.146</x:v>
      </x:c>
      <x:c r="F79" s="60" t="n">
        <x:v>2.618</x:v>
      </x:c>
      <x:c r="G79" s="60" t="n">
        <x:v>3.099</x:v>
      </x:c>
      <x:c r="H79" s="60" t="n">
        <x:v>10000</x:v>
      </x:c>
    </x:row>
    <x:row r="80" ht="15" hidden="0" customHeight="1">
      <x:c r="A80" s="58" t="str">
        <x:v>deriva_restrictiva</x:v>
      </x:c>
      <x:c r="B80" s="59" t="n">
        <x:v>2027</x:v>
      </x:c>
      <x:c r="C80" s="58" t="str">
        <x:v>Civil liberties</x:v>
      </x:c>
      <x:c r="D80" s="58" t="str">
        <x:v>Libertades civiles</x:v>
      </x:c>
      <x:c r="E80" s="59" t="n">
        <x:v>5.754</x:v>
      </x:c>
      <x:c r="F80" s="59" t="n">
        <x:v>5.98</x:v>
      </x:c>
      <x:c r="G80" s="59" t="n">
        <x:v>6.208</x:v>
      </x:c>
      <x:c r="H80" s="59" t="n">
        <x:v>10000</x:v>
      </x:c>
    </x:row>
    <x:row r="81" ht="15" hidden="0" customHeight="1">
      <x:c r="A81" s="57" t="str">
        <x:v>deriva_restrictiva</x:v>
      </x:c>
      <x:c r="B81" s="60" t="n">
        <x:v>2028</x:v>
      </x:c>
      <x:c r="C81" s="57" t="str">
        <x:v>Electoral process and pluralism</x:v>
      </x:c>
      <x:c r="D81" s="57" t="str">
        <x:v>Proceso electoral y pluralismo</x:v>
      </x:c>
      <x:c r="E81" s="60" t="n">
        <x:v>8.57</x:v>
      </x:c>
      <x:c r="F81" s="60" t="n">
        <x:v>8.724</x:v>
      </x:c>
      <x:c r="G81" s="60" t="n">
        <x:v>8.874</x:v>
      </x:c>
      <x:c r="H81" s="60" t="n">
        <x:v>10000</x:v>
      </x:c>
    </x:row>
    <x:row r="82" ht="15" hidden="0" customHeight="1">
      <x:c r="A82" s="58" t="str">
        <x:v>deriva_restrictiva</x:v>
      </x:c>
      <x:c r="B82" s="59" t="n">
        <x:v>2028</x:v>
      </x:c>
      <x:c r="C82" s="58" t="str">
        <x:v>Functioning of government</x:v>
      </x:c>
      <x:c r="D82" s="58" t="str">
        <x:v>Funcionamiento del gobierno</x:v>
      </x:c>
      <x:c r="E82" s="59" t="n">
        <x:v>5.405</x:v>
      </x:c>
      <x:c r="F82" s="59" t="n">
        <x:v>5.581</x:v>
      </x:c>
      <x:c r="G82" s="59" t="n">
        <x:v>5.755</x:v>
      </x:c>
      <x:c r="H82" s="59" t="n">
        <x:v>10000</x:v>
      </x:c>
    </x:row>
    <x:row r="83" ht="15" hidden="0" customHeight="1">
      <x:c r="A83" s="57" t="str">
        <x:v>deriva_restrictiva</x:v>
      </x:c>
      <x:c r="B83" s="60" t="n">
        <x:v>2028</x:v>
      </x:c>
      <x:c r="C83" s="57" t="str">
        <x:v>Political participation</x:v>
      </x:c>
      <x:c r="D83" s="57" t="str">
        <x:v>Participación política</x:v>
      </x:c>
      <x:c r="E83" s="60" t="n">
        <x:v>4.648</x:v>
      </x:c>
      <x:c r="F83" s="60" t="n">
        <x:v>4.89</x:v>
      </x:c>
      <x:c r="G83" s="60" t="n">
        <x:v>5.123</x:v>
      </x:c>
      <x:c r="H83" s="60" t="n">
        <x:v>10000</x:v>
      </x:c>
    </x:row>
    <x:row r="84" ht="15" hidden="0" customHeight="1">
      <x:c r="A84" s="58" t="str">
        <x:v>deriva_restrictiva</x:v>
      </x:c>
      <x:c r="B84" s="59" t="n">
        <x:v>2028</x:v>
      </x:c>
      <x:c r="C84" s="58" t="str">
        <x:v>Political culture</x:v>
      </x:c>
      <x:c r="D84" s="58" t="str">
        <x:v>Cultura política</x:v>
      </x:c>
      <x:c r="E84" s="59" t="n">
        <x:v>1.955</x:v>
      </x:c>
      <x:c r="F84" s="59" t="n">
        <x:v>2.497</x:v>
      </x:c>
      <x:c r="G84" s="59" t="n">
        <x:v>3.049</x:v>
      </x:c>
      <x:c r="H84" s="59" t="n">
        <x:v>10000</x:v>
      </x:c>
    </x:row>
    <x:row r="85" ht="15" hidden="0" customHeight="1">
      <x:c r="A85" s="57" t="str">
        <x:v>deriva_restrictiva</x:v>
      </x:c>
      <x:c r="B85" s="60" t="n">
        <x:v>2028</x:v>
      </x:c>
      <x:c r="C85" s="57" t="str">
        <x:v>Civil liberties</x:v>
      </x:c>
      <x:c r="D85" s="57" t="str">
        <x:v>Libertades civiles</x:v>
      </x:c>
      <x:c r="E85" s="60" t="n">
        <x:v>5.586</x:v>
      </x:c>
      <x:c r="F85" s="60" t="n">
        <x:v>5.836</x:v>
      </x:c>
      <x:c r="G85" s="60" t="n">
        <x:v>6.088</x:v>
      </x:c>
      <x:c r="H85" s="60" t="n">
        <x:v>10000</x:v>
      </x:c>
    </x:row>
    <x:row r="86" ht="15" hidden="0" customHeight="1">
      <x:c r="A86" s="58" t="str">
        <x:v>deriva_restrictiva</x:v>
      </x:c>
      <x:c r="B86" s="59" t="n">
        <x:v>2029</x:v>
      </x:c>
      <x:c r="C86" s="58" t="str">
        <x:v>Electoral process and pluralism</x:v>
      </x:c>
      <x:c r="D86" s="58" t="str">
        <x:v>Proceso electoral y pluralismo</x:v>
      </x:c>
      <x:c r="E86" s="59" t="n">
        <x:v>8.526</x:v>
      </x:c>
      <x:c r="F86" s="59" t="n">
        <x:v>8.692</x:v>
      </x:c>
      <x:c r="G86" s="59" t="n">
        <x:v>8.859</x:v>
      </x:c>
      <x:c r="H86" s="59" t="n">
        <x:v>10000</x:v>
      </x:c>
    </x:row>
    <x:row r="87" ht="15" hidden="0" customHeight="1">
      <x:c r="A87" s="57" t="str">
        <x:v>deriva_restrictiva</x:v>
      </x:c>
      <x:c r="B87" s="60" t="n">
        <x:v>2029</x:v>
      </x:c>
      <x:c r="C87" s="57" t="str">
        <x:v>Functioning of government</x:v>
      </x:c>
      <x:c r="D87" s="57" t="str">
        <x:v>Funcionamiento del gobierno</x:v>
      </x:c>
      <x:c r="E87" s="60" t="n">
        <x:v>5.28</x:v>
      </x:c>
      <x:c r="F87" s="60" t="n">
        <x:v>5.477</x:v>
      </x:c>
      <x:c r="G87" s="60" t="n">
        <x:v>5.674</x:v>
      </x:c>
      <x:c r="H87" s="60" t="n">
        <x:v>10000</x:v>
      </x:c>
    </x:row>
    <x:row r="88" ht="15" hidden="0" customHeight="1">
      <x:c r="A88" s="58" t="str">
        <x:v>deriva_restrictiva</x:v>
      </x:c>
      <x:c r="B88" s="59" t="n">
        <x:v>2029</x:v>
      </x:c>
      <x:c r="C88" s="58" t="str">
        <x:v>Political participation</x:v>
      </x:c>
      <x:c r="D88" s="58" t="str">
        <x:v>Participación política</x:v>
      </x:c>
      <x:c r="E88" s="59" t="n">
        <x:v>4.574</x:v>
      </x:c>
      <x:c r="F88" s="59" t="n">
        <x:v>4.834</x:v>
      </x:c>
      <x:c r="G88" s="59" t="n">
        <x:v>5.09</x:v>
      </x:c>
      <x:c r="H88" s="59" t="n">
        <x:v>10000</x:v>
      </x:c>
    </x:row>
    <x:row r="89" ht="15" hidden="0" customHeight="1">
      <x:c r="A89" s="57" t="str">
        <x:v>deriva_restrictiva</x:v>
      </x:c>
      <x:c r="B89" s="60" t="n">
        <x:v>2029</x:v>
      </x:c>
      <x:c r="C89" s="57" t="str">
        <x:v>Political culture</x:v>
      </x:c>
      <x:c r="D89" s="57" t="str">
        <x:v>Cultura política</x:v>
      </x:c>
      <x:c r="E89" s="60" t="n">
        <x:v>1.79</x:v>
      </x:c>
      <x:c r="F89" s="60" t="n">
        <x:v>2.408</x:v>
      </x:c>
      <x:c r="G89" s="60" t="n">
        <x:v>3.013</x:v>
      </x:c>
      <x:c r="H89" s="60" t="n">
        <x:v>10000</x:v>
      </x:c>
    </x:row>
    <x:row r="90" ht="15" hidden="0" customHeight="1">
      <x:c r="A90" s="58" t="str">
        <x:v>deriva_restrictiva</x:v>
      </x:c>
      <x:c r="B90" s="59" t="n">
        <x:v>2029</x:v>
      </x:c>
      <x:c r="C90" s="58" t="str">
        <x:v>Civil liberties</x:v>
      </x:c>
      <x:c r="D90" s="58" t="str">
        <x:v>Libertades civiles</x:v>
      </x:c>
      <x:c r="E90" s="59" t="n">
        <x:v>5.426</x:v>
      </x:c>
      <x:c r="F90" s="59" t="n">
        <x:v>5.707</x:v>
      </x:c>
      <x:c r="G90" s="59" t="n">
        <x:v>5.983</x:v>
      </x:c>
      <x:c r="H90" s="59" t="n">
        <x:v>10000</x:v>
      </x:c>
    </x:row>
    <x:row r="91" ht="15" hidden="0" customHeight="1">
      <x:c r="A91" s="57" t="str">
        <x:v>deriva_restrictiva</x:v>
      </x:c>
      <x:c r="B91" s="60" t="n">
        <x:v>2030</x:v>
      </x:c>
      <x:c r="C91" s="57" t="str">
        <x:v>Electoral process and pluralism</x:v>
      </x:c>
      <x:c r="D91" s="57" t="str">
        <x:v>Proceso electoral y pluralismo</x:v>
      </x:c>
      <x:c r="E91" s="60" t="n">
        <x:v>8.484</x:v>
      </x:c>
      <x:c r="F91" s="60" t="n">
        <x:v>8.665</x:v>
      </x:c>
      <x:c r="G91" s="60" t="n">
        <x:v>8.844</x:v>
      </x:c>
      <x:c r="H91" s="60" t="n">
        <x:v>10000</x:v>
      </x:c>
    </x:row>
    <x:row r="92" ht="15" hidden="0" customHeight="1">
      <x:c r="A92" s="58" t="str">
        <x:v>deriva_restrictiva</x:v>
      </x:c>
      <x:c r="B92" s="59" t="n">
        <x:v>2030</x:v>
      </x:c>
      <x:c r="C92" s="58" t="str">
        <x:v>Functioning of government</x:v>
      </x:c>
      <x:c r="D92" s="58" t="str">
        <x:v>Funcionamiento del gobierno</x:v>
      </x:c>
      <x:c r="E92" s="59" t="n">
        <x:v>5.164</x:v>
      </x:c>
      <x:c r="F92" s="59" t="n">
        <x:v>5.386</x:v>
      </x:c>
      <x:c r="G92" s="59" t="n">
        <x:v>5.606</x:v>
      </x:c>
      <x:c r="H92" s="59" t="n">
        <x:v>10000</x:v>
      </x:c>
    </x:row>
    <x:row r="93" ht="15" hidden="0" customHeight="1">
      <x:c r="A93" s="57" t="str">
        <x:v>deriva_restrictiva</x:v>
      </x:c>
      <x:c r="B93" s="60" t="n">
        <x:v>2030</x:v>
      </x:c>
      <x:c r="C93" s="57" t="str">
        <x:v>Political participation</x:v>
      </x:c>
      <x:c r="D93" s="57" t="str">
        <x:v>Participación política</x:v>
      </x:c>
      <x:c r="E93" s="60" t="n">
        <x:v>4.505</x:v>
      </x:c>
      <x:c r="F93" s="60" t="n">
        <x:v>4.783</x:v>
      </x:c>
      <x:c r="G93" s="60" t="n">
        <x:v>5.062</x:v>
      </x:c>
      <x:c r="H93" s="60" t="n">
        <x:v>10000</x:v>
      </x:c>
    </x:row>
    <x:row r="94" ht="15" hidden="0" customHeight="1">
      <x:c r="A94" s="58" t="str">
        <x:v>deriva_restrictiva</x:v>
      </x:c>
      <x:c r="B94" s="59" t="n">
        <x:v>2030</x:v>
      </x:c>
      <x:c r="C94" s="58" t="str">
        <x:v>Political culture</x:v>
      </x:c>
      <x:c r="D94" s="58" t="str">
        <x:v>Cultura política</x:v>
      </x:c>
      <x:c r="E94" s="59" t="n">
        <x:v>1.636</x:v>
      </x:c>
      <x:c r="F94" s="59" t="n">
        <x:v>2.317</x:v>
      </x:c>
      <x:c r="G94" s="59" t="n">
        <x:v>2.975</x:v>
      </x:c>
      <x:c r="H94" s="59" t="n">
        <x:v>10000</x:v>
      </x:c>
    </x:row>
    <x:row r="95" ht="15" hidden="0" customHeight="1">
      <x:c r="A95" s="57" t="str">
        <x:v>deriva_restrictiva</x:v>
      </x:c>
      <x:c r="B95" s="60" t="n">
        <x:v>2030</x:v>
      </x:c>
      <x:c r="C95" s="57" t="str">
        <x:v>Civil liberties</x:v>
      </x:c>
      <x:c r="D95" s="57" t="str">
        <x:v>Libertades civiles</x:v>
      </x:c>
      <x:c r="E95" s="60" t="n">
        <x:v>5.287</x:v>
      </x:c>
      <x:c r="F95" s="60" t="n">
        <x:v>5.597</x:v>
      </x:c>
      <x:c r="G95" s="60" t="n">
        <x:v>5.904</x:v>
      </x:c>
      <x:c r="H95" s="60" t="n">
        <x:v>10000</x:v>
      </x:c>
    </x:row>
  </x:sheetData>
  <x:mergeCells>
    <x:mergeCell ref="A1:H1"/>
    <x:mergeCell ref="A2:H2"/>
  </x:mergeCells>
  <x:pageMargins left="0.7" right="0.7" top="0.75" bottom="0.75" header="0.3" footer="0.3"/>
  <x:tableParts count="1">
    <x:tablePart xmlns:r="http://schemas.openxmlformats.org/officeDocument/2006/relationships" r:id="Rebf7ff09373341c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4" hidden="0" customWidth="1"/>
    <x:col min="2" max="2" width="44" hidden="0" customWidth="1"/>
    <x:col min="3" max="3" width="44" hidden="0" customWidth="1"/>
    <x:col min="4" max="4" width="44" hidden="0" customWidth="1"/>
    <x:col min="5" max="5" width="34" hidden="0" customWidth="1"/>
    <x:col min="6" max="6" width="34" hidden="0" customWidth="1"/>
    <x:col min="7" max="7" width="34" hidden="0" customWidth="1"/>
    <x:col min="8" max="8" width="34" hidden="0" customWidth="1"/>
    <x:col min="9" max="9" width="44" hidden="0" customWidth="1"/>
    <x:col min="10" max="10" width="34" hidden="0" customWidth="1"/>
    <x:col min="11" max="11" width="44" hidden="0" customWidth="1"/>
    <x:col min="12" max="12" width="34" hidden="0" customWidth="1"/>
    <x:col min="13" max="13" width="34" hidden="0" customWidth="1"/>
    <x:col min="14" max="14" width="34" hidden="0" customWidth="1"/>
  </x:cols>
  <x:sheetData>
    <x:row r="1" ht="19.200000762939453" hidden="0" customHeight="1">
      <x:c r="A1" s="3" t="str">
        <x:v>Matriz de elicitación de parámetros</x:v>
      </x:c>
      <x:c r="B1" s="3" t="str">
        <x:v>Matriz de elicitación de parámetros</x:v>
      </x:c>
      <x:c r="C1" s="3" t="str">
        <x:v>Matriz de elicitación de parámetros</x:v>
      </x:c>
      <x:c r="D1" s="3" t="str">
        <x:v>Matriz de elicitación de parámetros</x:v>
      </x:c>
      <x:c r="E1" s="3" t="str">
        <x:v>Matriz de elicitación de parámetros</x:v>
      </x:c>
      <x:c r="F1" s="3" t="str">
        <x:v>Matriz de elicitación de parámetros</x:v>
      </x:c>
      <x:c r="G1" s="3" t="str">
        <x:v>Matriz de elicitación de parámetros</x:v>
      </x:c>
      <x:c r="H1" s="3" t="str">
        <x:v>Matriz de elicitación de parámetros</x:v>
      </x:c>
      <x:c r="I1" s="3" t="str">
        <x:v>Matriz de elicitación de parámetros</x:v>
      </x:c>
      <x:c r="J1" s="3" t="str">
        <x:v>Matriz de elicitación de parámetros</x:v>
      </x:c>
      <x:c r="K1" s="3" t="str">
        <x:v>Matriz de elicitación de parámetros</x:v>
      </x:c>
      <x:c r="L1" s="3" t="str">
        <x:v>Matriz de elicitación de parámetros</x:v>
      </x:c>
      <x:c r="M1" s="3" t="str">
        <x:v>Matriz de elicitación de parámetros</x:v>
      </x:c>
      <x:c r="N1" s="3" t="str">
        <x:v>Matriz de elicitación de parámetros</x:v>
      </x:c>
    </x:row>
    <x:row r="2" ht="15" hidden="0" customHeight="1">
      <x:c r="A2" s="7" t="str">
        <x:v>Cada juicio estructurado declara valor central, rango plausible, evidencia, señal, regla de traducción, autor, fecha y estatus. No son efectos econométricamente estimados.</x:v>
      </x:c>
      <x:c r="B2" s="7" t="str">
        <x:v>Cada juicio estructurado declara valor central, rango plausible, evidencia, señal, regla de traducción, autor, fecha y estatus. No son efectos econométricamente estimados.</x:v>
      </x:c>
      <x:c r="C2" s="7" t="str">
        <x:v>Cada juicio estructurado declara valor central, rango plausible, evidencia, señal, regla de traducción, autor, fecha y estatus. No son efectos econométricamente estimados.</x:v>
      </x:c>
      <x:c r="D2" s="7" t="str">
        <x:v>Cada juicio estructurado declara valor central, rango plausible, evidencia, señal, regla de traducción, autor, fecha y estatus. No son efectos econométricamente estimados.</x:v>
      </x:c>
      <x:c r="E2" s="7" t="str">
        <x:v>Cada juicio estructurado declara valor central, rango plausible, evidencia, señal, regla de traducción, autor, fecha y estatus. No son efectos econométricamente estimados.</x:v>
      </x:c>
      <x:c r="F2" s="7" t="str">
        <x:v>Cada juicio estructurado declara valor central, rango plausible, evidencia, señal, regla de traducción, autor, fecha y estatus. No son efectos econométricamente estimados.</x:v>
      </x:c>
      <x:c r="G2" s="7" t="str">
        <x:v>Cada juicio estructurado declara valor central, rango plausible, evidencia, señal, regla de traducción, autor, fecha y estatus. No son efectos econométricamente estimados.</x:v>
      </x:c>
      <x:c r="H2" s="7" t="str">
        <x:v>Cada juicio estructurado declara valor central, rango plausible, evidencia, señal, regla de traducción, autor, fecha y estatus. No son efectos econométricamente estimados.</x:v>
      </x:c>
      <x:c r="I2" s="7" t="str">
        <x:v>Cada juicio estructurado declara valor central, rango plausible, evidencia, señal, regla de traducción, autor, fecha y estatus. No son efectos econométricamente estimados.</x:v>
      </x:c>
      <x:c r="J2" s="7" t="str">
        <x:v>Cada juicio estructurado declara valor central, rango plausible, evidencia, señal, regla de traducción, autor, fecha y estatus. No son efectos econométricamente estimados.</x:v>
      </x:c>
      <x:c r="K2" s="7" t="str">
        <x:v>Cada juicio estructurado declara valor central, rango plausible, evidencia, señal, regla de traducción, autor, fecha y estatus. No son efectos econométricamente estimados.</x:v>
      </x:c>
      <x:c r="L2" s="7" t="str">
        <x:v>Cada juicio estructurado declara valor central, rango plausible, evidencia, señal, regla de traducción, autor, fecha y estatus. No son efectos econométricamente estimados.</x:v>
      </x:c>
      <x:c r="M2" s="7" t="str">
        <x:v>Cada juicio estructurado declara valor central, rango plausible, evidencia, señal, regla de traducción, autor, fecha y estatus. No son efectos econométricamente estimados.</x:v>
      </x:c>
      <x:c r="N2" s="7" t="str">
        <x:v>Cada juicio estructurado declara valor central, rango plausible, evidencia, señal, regla de traducción, autor, fecha y estatus. No son efectos econométricamente estimados.</x:v>
      </x:c>
    </x:row>
    <x:row r="3" ht="15" hidden="0" customHeight="1">
      <x:c r="A3" s="8"/>
      <x:c r="B3" s="8"/>
      <x:c r="C3" s="8"/>
      <x:c r="D3" s="8"/>
      <x:c r="E3" s="8"/>
      <x:c r="F3" s="8"/>
      <x:c r="G3" s="8"/>
      <x:c r="H3" s="8"/>
      <x:c r="I3" s="8"/>
      <x:c r="J3" s="8"/>
      <x:c r="K3" s="8"/>
      <x:c r="L3" s="8"/>
      <x:c r="M3" s="8"/>
      <x:c r="N3" s="8"/>
    </x:row>
    <x:row r="4"/>
    <x:row r="5" ht="15" hidden="0" customHeight="1">
      <x:c r="A5" s="14" t="str">
        <x:v>scenario_id</x:v>
      </x:c>
      <x:c r="B5" s="14" t="str">
        <x:v>scenario_name</x:v>
      </x:c>
      <x:c r="C5" s="14" t="str">
        <x:v>category_full</x:v>
      </x:c>
      <x:c r="D5" s="14" t="str">
        <x:v>category_es</x:v>
      </x:c>
      <x:c r="E5" s="14" t="str">
        <x:v>parameter</x:v>
      </x:c>
      <x:c r="F5" s="14" t="str">
        <x:v>central</x:v>
      </x:c>
      <x:c r="G5" s="14" t="str">
        <x:v>plausible_low</x:v>
      </x:c>
      <x:c r="H5" s="14" t="str">
        <x:v>plausible_high</x:v>
      </x:c>
      <x:c r="I5" s="14" t="str">
        <x:v>evidence_basis</x:v>
      </x:c>
      <x:c r="J5" s="14" t="str">
        <x:v>signal</x:v>
      </x:c>
      <x:c r="K5" s="14" t="str">
        <x:v>translation_rule</x:v>
      </x:c>
      <x:c r="L5" s="14" t="str">
        <x:v>decision_author</x:v>
      </x:c>
      <x:c r="M5" s="14" t="str">
        <x:v>decision_date</x:v>
      </x:c>
      <x:c r="N5" s="14" t="str">
        <x:v>parameter_status</x:v>
      </x:c>
    </x:row>
    <x:row r="6" ht="15" hidden="0" customHeight="1">
      <x:c r="A6" s="58" t="str">
        <x:v>recuperacion_institucional</x:v>
      </x:c>
      <x:c r="B6" s="58" t="str">
        <x:v>Recuperación institucional y gobernabilidad negociada</x:v>
      </x:c>
      <x:c r="C6" s="58" t="str">
        <x:v>Electoral process and pluralism</x:v>
      </x:c>
      <x:c r="D6" s="58" t="str">
        <x:v>Proceso electoral y pluralismo</x:v>
      </x:c>
      <x:c r="E6" s="58" t="str">
        <x:v>shock_2026</x:v>
      </x:c>
      <x:c r="F6" s="59" t="n">
        <x:v>0.12</x:v>
      </x:c>
      <x:c r="G6" s="59" t="n">
        <x:v>0.06</x:v>
      </x:c>
      <x:c r="H6" s="59" t="n">
        <x:v>0.18</x:v>
      </x:c>
      <x:c r="I6" s="58" t="str">
        <x:v>E01;E02;E03</x:v>
      </x:c>
      <x:c r="J6" s="58" t="str">
        <x:v>positive</x:v>
      </x:c>
      <x:c r="K6" s="58" t="str">
        <x:v>Implementación y legitimación electoral elevan moderadamente el componente; rango acotado por persistencia de polarización.</x:v>
      </x:c>
      <x:c r="L6" s="58" t="str">
        <x:v>Magdiel Torres Vanegas</x:v>
      </x:c>
      <x:c r="M6" s="58" t="str">
        <x:v>2026-08-25</x:v>
      </x:c>
      <x:c r="N6" s="58" t="str">
        <x:v>structured_analytical_judgment</x:v>
      </x:c>
    </x:row>
    <x:row r="7" ht="15" hidden="0" customHeight="1">
      <x:c r="A7" s="57" t="str">
        <x:v>recuperacion_institucional</x:v>
      </x:c>
      <x:c r="B7" s="57" t="str">
        <x:v>Recuperación institucional y gobernabilidad negociada</x:v>
      </x:c>
      <x:c r="C7" s="57" t="str">
        <x:v>Electoral process and pluralism</x:v>
      </x:c>
      <x:c r="D7" s="57" t="str">
        <x:v>Proceso electoral y pluralismo</x:v>
      </x:c>
      <x:c r="E7" s="57" t="str">
        <x:v>annual_structural_rate</x:v>
      </x:c>
      <x:c r="F7" s="60" t="n">
        <x:v>0.04</x:v>
      </x:c>
      <x:c r="G7" s="60" t="n">
        <x:v>0.01</x:v>
      </x:c>
      <x:c r="H7" s="60" t="n">
        <x:v>0.07</x:v>
      </x:c>
      <x:c r="I7" s="57" t="str">
        <x:v>E01;E02</x:v>
      </x:c>
      <x:c r="J7" s="57" t="str">
        <x:v>positive</x:v>
      </x:c>
      <x:c r="K7" s="57" t="str">
        <x:v>Cumplimiento gradual de recomendaciones; efecto anual pequeño y decreciente.</x:v>
      </x:c>
      <x:c r="L7" s="57" t="str">
        <x:v>Magdiel Torres Vanegas</x:v>
      </x:c>
      <x:c r="M7" s="57" t="str">
        <x:v>2026-08-25</x:v>
      </x:c>
      <x:c r="N7" s="57" t="str">
        <x:v>structured_analytical_judgment</x:v>
      </x:c>
    </x:row>
    <x:row r="8" ht="15" hidden="0" customHeight="1">
      <x:c r="A8" s="58" t="str">
        <x:v>recuperacion_institucional</x:v>
      </x:c>
      <x:c r="B8" s="58" t="str">
        <x:v>Recuperación institucional y gobernabilidad negociada</x:v>
      </x:c>
      <x:c r="C8" s="58" t="str">
        <x:v>Functioning of government</x:v>
      </x:c>
      <x:c r="D8" s="58" t="str">
        <x:v>Funcionamiento del gobierno</x:v>
      </x:c>
      <x:c r="E8" s="58" t="str">
        <x:v>shock_2026</x:v>
      </x:c>
      <x:c r="F8" s="59" t="n">
        <x:v>0.12</x:v>
      </x:c>
      <x:c r="G8" s="59" t="n">
        <x:v>0.04</x:v>
      </x:c>
      <x:c r="H8" s="59" t="n">
        <x:v>0.2</x:v>
      </x:c>
      <x:c r="I8" s="58" t="str">
        <x:v>E01;E05;E08</x:v>
      </x:c>
      <x:c r="J8" s="58" t="str">
        <x:v>positive</x:v>
      </x:c>
      <x:c r="K8" s="58" t="str">
        <x:v>Acuerdos de gobernabilidad producen mejora inicial limitada por fragmentación institucional.</x:v>
      </x:c>
      <x:c r="L8" s="58" t="str">
        <x:v>Magdiel Torres Vanegas</x:v>
      </x:c>
      <x:c r="M8" s="58" t="str">
        <x:v>2026-08-25</x:v>
      </x:c>
      <x:c r="N8" s="58" t="str">
        <x:v>structured_analytical_judgment</x:v>
      </x:c>
    </x:row>
    <x:row r="9" ht="15" hidden="0" customHeight="1">
      <x:c r="A9" s="57" t="str">
        <x:v>recuperacion_institucional</x:v>
      </x:c>
      <x:c r="B9" s="57" t="str">
        <x:v>Recuperación institucional y gobernabilidad negociada</x:v>
      </x:c>
      <x:c r="C9" s="57" t="str">
        <x:v>Functioning of government</x:v>
      </x:c>
      <x:c r="D9" s="57" t="str">
        <x:v>Funcionamiento del gobierno</x:v>
      </x:c>
      <x:c r="E9" s="57" t="str">
        <x:v>annual_structural_rate</x:v>
      </x:c>
      <x:c r="F9" s="60" t="n">
        <x:v>0.1</x:v>
      </x:c>
      <x:c r="G9" s="60" t="n">
        <x:v>0.04</x:v>
      </x:c>
      <x:c r="H9" s="60" t="n">
        <x:v>0.16</x:v>
      </x:c>
      <x:c r="I9" s="57" t="str">
        <x:v>E01;E05;E08</x:v>
      </x:c>
      <x:c r="J9" s="57" t="str">
        <x:v>positive</x:v>
      </x:c>
      <x:c r="K9" s="57" t="str">
        <x:v>Coalición estable y capacidad de implementación sostienen una mejora gradual.</x:v>
      </x:c>
      <x:c r="L9" s="57" t="str">
        <x:v>Magdiel Torres Vanegas</x:v>
      </x:c>
      <x:c r="M9" s="57" t="str">
        <x:v>2026-08-25</x:v>
      </x:c>
      <x:c r="N9" s="57" t="str">
        <x:v>structured_analytical_judgment</x:v>
      </x:c>
    </x:row>
    <x:row r="10" ht="15" hidden="0" customHeight="1">
      <x:c r="A10" s="58" t="str">
        <x:v>recuperacion_institucional</x:v>
      </x:c>
      <x:c r="B10" s="58" t="str">
        <x:v>Recuperación institucional y gobernabilidad negociada</x:v>
      </x:c>
      <x:c r="C10" s="58" t="str">
        <x:v>Political participation</x:v>
      </x:c>
      <x:c r="D10" s="58" t="str">
        <x:v>Participación política</x:v>
      </x:c>
      <x:c r="E10" s="58" t="str">
        <x:v>shock_2026</x:v>
      </x:c>
      <x:c r="F10" s="59" t="n">
        <x:v>0.08</x:v>
      </x:c>
      <x:c r="G10" s="59" t="n">
        <x:v>0.02</x:v>
      </x:c>
      <x:c r="H10" s="59" t="n">
        <x:v>0.14</x:v>
      </x:c>
      <x:c r="I10" s="58" t="str">
        <x:v>E01;E07</x:v>
      </x:c>
      <x:c r="J10" s="58" t="str">
        <x:v>positive</x:v>
      </x:c>
      <x:c r="K10" s="58" t="str">
        <x:v>Legitimidad y acceso a información inducen una mejora inicial moderada.</x:v>
      </x:c>
      <x:c r="L10" s="58" t="str">
        <x:v>Magdiel Torres Vanegas</x:v>
      </x:c>
      <x:c r="M10" s="58" t="str">
        <x:v>2026-08-25</x:v>
      </x:c>
      <x:c r="N10" s="58" t="str">
        <x:v>structured_analytical_judgment</x:v>
      </x:c>
    </x:row>
    <x:row r="11" ht="15" hidden="0" customHeight="1">
      <x:c r="A11" s="57" t="str">
        <x:v>recuperacion_institucional</x:v>
      </x:c>
      <x:c r="B11" s="57" t="str">
        <x:v>Recuperación institucional y gobernabilidad negociada</x:v>
      </x:c>
      <x:c r="C11" s="57" t="str">
        <x:v>Political participation</x:v>
      </x:c>
      <x:c r="D11" s="57" t="str">
        <x:v>Participación política</x:v>
      </x:c>
      <x:c r="E11" s="57" t="str">
        <x:v>annual_structural_rate</x:v>
      </x:c>
      <x:c r="F11" s="60" t="n">
        <x:v>0.06</x:v>
      </x:c>
      <x:c r="G11" s="60" t="n">
        <x:v>0.02</x:v>
      </x:c>
      <x:c r="H11" s="60" t="n">
        <x:v>0.1</x:v>
      </x:c>
      <x:c r="I11" s="57" t="str">
        <x:v>E01;E07</x:v>
      </x:c>
      <x:c r="J11" s="57" t="str">
        <x:v>positive</x:v>
      </x:c>
      <x:c r="K11" s="57" t="str">
        <x:v>Mecanismos de participación se consolidan lentamente.</x:v>
      </x:c>
      <x:c r="L11" s="57" t="str">
        <x:v>Magdiel Torres Vanegas</x:v>
      </x:c>
      <x:c r="M11" s="57" t="str">
        <x:v>2026-08-25</x:v>
      </x:c>
      <x:c r="N11" s="57" t="str">
        <x:v>structured_analytical_judgment</x:v>
      </x:c>
    </x:row>
    <x:row r="12" ht="15" hidden="0" customHeight="1">
      <x:c r="A12" s="58" t="str">
        <x:v>recuperacion_institucional</x:v>
      </x:c>
      <x:c r="B12" s="58" t="str">
        <x:v>Recuperación institucional y gobernabilidad negociada</x:v>
      </x:c>
      <x:c r="C12" s="58" t="str">
        <x:v>Political culture</x:v>
      </x:c>
      <x:c r="D12" s="58" t="str">
        <x:v>Cultura política</x:v>
      </x:c>
      <x:c r="E12" s="58" t="str">
        <x:v>shock_2026</x:v>
      </x:c>
      <x:c r="F12" s="59" t="n">
        <x:v>0.15</x:v>
      </x:c>
      <x:c r="G12" s="59" t="n">
        <x:v>0.05</x:v>
      </x:c>
      <x:c r="H12" s="59" t="n">
        <x:v>0.25</x:v>
      </x:c>
      <x:c r="I12" s="58" t="str">
        <x:v>E06;E08;E09</x:v>
      </x:c>
      <x:c r="J12" s="58" t="str">
        <x:v>positive</x:v>
      </x:c>
      <x:c r="K12" s="58" t="str">
        <x:v>Reducción de confrontación y aceptación de reglas permiten una recuperación parcial.</x:v>
      </x:c>
      <x:c r="L12" s="58" t="str">
        <x:v>Magdiel Torres Vanegas</x:v>
      </x:c>
      <x:c r="M12" s="58" t="str">
        <x:v>2026-08-25</x:v>
      </x:c>
      <x:c r="N12" s="58" t="str">
        <x:v>structured_analytical_judgment</x:v>
      </x:c>
    </x:row>
    <x:row r="13" ht="15" hidden="0" customHeight="1">
      <x:c r="A13" s="57" t="str">
        <x:v>recuperacion_institucional</x:v>
      </x:c>
      <x:c r="B13" s="57" t="str">
        <x:v>Recuperación institucional y gobernabilidad negociada</x:v>
      </x:c>
      <x:c r="C13" s="57" t="str">
        <x:v>Political culture</x:v>
      </x:c>
      <x:c r="D13" s="57" t="str">
        <x:v>Cultura política</x:v>
      </x:c>
      <x:c r="E13" s="57" t="str">
        <x:v>annual_structural_rate</x:v>
      </x:c>
      <x:c r="F13" s="60" t="n">
        <x:v>0.1</x:v>
      </x:c>
      <x:c r="G13" s="60" t="n">
        <x:v>0.04</x:v>
      </x:c>
      <x:c r="H13" s="60" t="n">
        <x:v>0.16</x:v>
      </x:c>
      <x:c r="I13" s="57" t="str">
        <x:v>E06;E08</x:v>
      </x:c>
      <x:c r="J13" s="57" t="str">
        <x:v>positive</x:v>
      </x:c>
      <x:c r="K13" s="57" t="str">
        <x:v>Recuperación gradual desde una base baja; no supone normalización inmediata.</x:v>
      </x:c>
      <x:c r="L13" s="57" t="str">
        <x:v>Magdiel Torres Vanegas</x:v>
      </x:c>
      <x:c r="M13" s="57" t="str">
        <x:v>2026-08-25</x:v>
      </x:c>
      <x:c r="N13" s="57" t="str">
        <x:v>structured_analytical_judgment</x:v>
      </x:c>
    </x:row>
    <x:row r="14" ht="15" hidden="0" customHeight="1">
      <x:c r="A14" s="58" t="str">
        <x:v>recuperacion_institucional</x:v>
      </x:c>
      <x:c r="B14" s="58" t="str">
        <x:v>Recuperación institucional y gobernabilidad negociada</x:v>
      </x:c>
      <x:c r="C14" s="58" t="str">
        <x:v>Civil liberties</x:v>
      </x:c>
      <x:c r="D14" s="58" t="str">
        <x:v>Libertades civiles</x:v>
      </x:c>
      <x:c r="E14" s="58" t="str">
        <x:v>shock_2026</x:v>
      </x:c>
      <x:c r="F14" s="59" t="n">
        <x:v>0.05</x:v>
      </x:c>
      <x:c r="G14" s="59" t="n">
        <x:v>-0.02</x:v>
      </x:c>
      <x:c r="H14" s="59" t="n">
        <x:v>0.12</x:v>
      </x:c>
      <x:c r="I14" s="58" t="str">
        <x:v>E01;E05</x:v>
      </x:c>
      <x:c r="J14" s="58" t="str">
        <x:v>weak_positive</x:v>
      </x:c>
      <x:c r="K14" s="58" t="str">
        <x:v>Controles judiciales compensan parcialmente la presión securitaria.</x:v>
      </x:c>
      <x:c r="L14" s="58" t="str">
        <x:v>Magdiel Torres Vanegas</x:v>
      </x:c>
      <x:c r="M14" s="58" t="str">
        <x:v>2026-08-25</x:v>
      </x:c>
      <x:c r="N14" s="58" t="str">
        <x:v>structured_analytical_judgment</x:v>
      </x:c>
    </x:row>
    <x:row r="15" ht="15" hidden="0" customHeight="1">
      <x:c r="A15" s="57" t="str">
        <x:v>recuperacion_institucional</x:v>
      </x:c>
      <x:c r="B15" s="57" t="str">
        <x:v>Recuperación institucional y gobernabilidad negociada</x:v>
      </x:c>
      <x:c r="C15" s="57" t="str">
        <x:v>Civil liberties</x:v>
      </x:c>
      <x:c r="D15" s="57" t="str">
        <x:v>Libertades civiles</x:v>
      </x:c>
      <x:c r="E15" s="57" t="str">
        <x:v>annual_structural_rate</x:v>
      </x:c>
      <x:c r="F15" s="60" t="n">
        <x:v>0.05</x:v>
      </x:c>
      <x:c r="G15" s="60" t="n">
        <x:v>0.01</x:v>
      </x:c>
      <x:c r="H15" s="60" t="n">
        <x:v>0.09</x:v>
      </x:c>
      <x:c r="I15" s="57" t="str">
        <x:v>E01;E05</x:v>
      </x:c>
      <x:c r="J15" s="57" t="str">
        <x:v>positive</x:v>
      </x:c>
      <x:c r="K15" s="57" t="str">
        <x:v>Institucionalización de salvaguardas genera mejora gradual.</x:v>
      </x:c>
      <x:c r="L15" s="57" t="str">
        <x:v>Magdiel Torres Vanegas</x:v>
      </x:c>
      <x:c r="M15" s="57" t="str">
        <x:v>2026-08-25</x:v>
      </x:c>
      <x:c r="N15" s="57" t="str">
        <x:v>structured_analytical_judgment</x:v>
      </x:c>
    </x:row>
    <x:row r="16" ht="15" hidden="0" customHeight="1">
      <x:c r="A16" s="58" t="str">
        <x:v>continuidad_hibrida</x:v>
      </x:c>
      <x:c r="B16" s="58" t="str">
        <x:v>Continuidad híbrida y estabilización competitiva</x:v>
      </x:c>
      <x:c r="C16" s="58" t="str">
        <x:v>Electoral process and pluralism</x:v>
      </x:c>
      <x:c r="D16" s="58" t="str">
        <x:v>Proceso electoral y pluralismo</x:v>
      </x:c>
      <x:c r="E16" s="58" t="str">
        <x:v>shock_2026</x:v>
      </x:c>
      <x:c r="F16" s="59" t="n">
        <x:v>0.08</x:v>
      </x:c>
      <x:c r="G16" s="59" t="n">
        <x:v>0</x:v>
      </x:c>
      <x:c r="H16" s="59" t="n">
        <x:v>0.14</x:v>
      </x:c>
      <x:c r="I16" s="58" t="str">
        <x:v>E01;E02;E03</x:v>
      </x:c>
      <x:c r="J16" s="58" t="str">
        <x:v>weak_positive</x:v>
      </x:c>
      <x:c r="K16" s="58" t="str">
        <x:v>Aceptación formal del resultado mejora el componente sin reforma estructural.</x:v>
      </x:c>
      <x:c r="L16" s="58" t="str">
        <x:v>Magdiel Torres Vanegas</x:v>
      </x:c>
      <x:c r="M16" s="58" t="str">
        <x:v>2026-08-25</x:v>
      </x:c>
      <x:c r="N16" s="58" t="str">
        <x:v>structured_analytical_judgment</x:v>
      </x:c>
    </x:row>
    <x:row r="17" ht="15" hidden="0" customHeight="1">
      <x:c r="A17" s="57" t="str">
        <x:v>continuidad_hibrida</x:v>
      </x:c>
      <x:c r="B17" s="57" t="str">
        <x:v>Continuidad híbrida y estabilización competitiva</x:v>
      </x:c>
      <x:c r="C17" s="57" t="str">
        <x:v>Electoral process and pluralism</x:v>
      </x:c>
      <x:c r="D17" s="57" t="str">
        <x:v>Proceso electoral y pluralismo</x:v>
      </x:c>
      <x:c r="E17" s="57" t="str">
        <x:v>annual_structural_rate</x:v>
      </x:c>
      <x:c r="F17" s="60" t="n">
        <x:v>0</x:v>
      </x:c>
      <x:c r="G17" s="60" t="n">
        <x:v>-0.02</x:v>
      </x:c>
      <x:c r="H17" s="60" t="n">
        <x:v>0.02</x:v>
      </x:c>
      <x:c r="I17" s="57" t="str">
        <x:v>E01;E02</x:v>
      </x:c>
      <x:c r="J17" s="57" t="str">
        <x:v>neutral</x:v>
      </x:c>
      <x:c r="K17" s="57" t="str">
        <x:v>Competencia preservada con estabilidad procedimental y bajo cambio anual.</x:v>
      </x:c>
      <x:c r="L17" s="57" t="str">
        <x:v>Magdiel Torres Vanegas</x:v>
      </x:c>
      <x:c r="M17" s="57" t="str">
        <x:v>2026-08-25</x:v>
      </x:c>
      <x:c r="N17" s="57" t="str">
        <x:v>structured_analytical_judgment</x:v>
      </x:c>
    </x:row>
    <x:row r="18" ht="15" hidden="0" customHeight="1">
      <x:c r="A18" s="58" t="str">
        <x:v>continuidad_hibrida</x:v>
      </x:c>
      <x:c r="B18" s="58" t="str">
        <x:v>Continuidad híbrida y estabilización competitiva</x:v>
      </x:c>
      <x:c r="C18" s="58" t="str">
        <x:v>Functioning of government</x:v>
      </x:c>
      <x:c r="D18" s="58" t="str">
        <x:v>Funcionamiento del gobierno</x:v>
      </x:c>
      <x:c r="E18" s="58" t="str">
        <x:v>shock_2026</x:v>
      </x:c>
      <x:c r="F18" s="59" t="n">
        <x:v>-0.06</x:v>
      </x:c>
      <x:c r="G18" s="59" t="n">
        <x:v>-0.15</x:v>
      </x:c>
      <x:c r="H18" s="59" t="n">
        <x:v>0.03</x:v>
      </x:c>
      <x:c r="I18" s="58" t="str">
        <x:v>E04;E05;E08</x:v>
      </x:c>
      <x:c r="J18" s="58" t="str">
        <x:v>weak_negative</x:v>
      </x:c>
      <x:c r="K18" s="58" t="str">
        <x:v>Fragmentación y margen electoral estrecho limitan coordinación inicial.</x:v>
      </x:c>
      <x:c r="L18" s="58" t="str">
        <x:v>Magdiel Torres Vanegas</x:v>
      </x:c>
      <x:c r="M18" s="58" t="str">
        <x:v>2026-08-25</x:v>
      </x:c>
      <x:c r="N18" s="58" t="str">
        <x:v>structured_analytical_judgment</x:v>
      </x:c>
    </x:row>
    <x:row r="19" ht="15" hidden="0" customHeight="1">
      <x:c r="A19" s="57" t="str">
        <x:v>continuidad_hibrida</x:v>
      </x:c>
      <x:c r="B19" s="57" t="str">
        <x:v>Continuidad híbrida y estabilización competitiva</x:v>
      </x:c>
      <x:c r="C19" s="57" t="str">
        <x:v>Functioning of government</x:v>
      </x:c>
      <x:c r="D19" s="57" t="str">
        <x:v>Funcionamiento del gobierno</x:v>
      </x:c>
      <x:c r="E19" s="57" t="str">
        <x:v>annual_structural_rate</x:v>
      </x:c>
      <x:c r="F19" s="60" t="n">
        <x:v>0.01</x:v>
      </x:c>
      <x:c r="G19" s="60" t="n">
        <x:v>-0.03</x:v>
      </x:c>
      <x:c r="H19" s="60" t="n">
        <x:v>0.05</x:v>
      </x:c>
      <x:c r="I19" s="57" t="str">
        <x:v>E05;E08</x:v>
      </x:c>
      <x:c r="J19" s="57" t="str">
        <x:v>near_neutral</x:v>
      </x:c>
      <x:c r="K19" s="57" t="str">
        <x:v>Ajustes parciales compensan sin resolver debilidades de implementación.</x:v>
      </x:c>
      <x:c r="L19" s="57" t="str">
        <x:v>Magdiel Torres Vanegas</x:v>
      </x:c>
      <x:c r="M19" s="57" t="str">
        <x:v>2026-08-25</x:v>
      </x:c>
      <x:c r="N19" s="57" t="str">
        <x:v>structured_analytical_judgment</x:v>
      </x:c>
    </x:row>
    <x:row r="20" ht="15" hidden="0" customHeight="1">
      <x:c r="A20" s="58" t="str">
        <x:v>continuidad_hibrida</x:v>
      </x:c>
      <x:c r="B20" s="58" t="str">
        <x:v>Continuidad híbrida y estabilización competitiva</x:v>
      </x:c>
      <x:c r="C20" s="58" t="str">
        <x:v>Political participation</x:v>
      </x:c>
      <x:c r="D20" s="58" t="str">
        <x:v>Participación política</x:v>
      </x:c>
      <x:c r="E20" s="58" t="str">
        <x:v>shock_2026</x:v>
      </x:c>
      <x:c r="F20" s="59" t="n">
        <x:v>0.06</x:v>
      </x:c>
      <x:c r="G20" s="59" t="n">
        <x:v>-0.01</x:v>
      </x:c>
      <x:c r="H20" s="59" t="n">
        <x:v>0.12</x:v>
      </x:c>
      <x:c r="I20" s="58" t="str">
        <x:v>E03;E07</x:v>
      </x:c>
      <x:c r="J20" s="58" t="str">
        <x:v>weak_positive</x:v>
      </x:c>
      <x:c r="K20" s="58" t="str">
        <x:v>Movilización electoral preserva participación con efecto inicial acotado.</x:v>
      </x:c>
      <x:c r="L20" s="58" t="str">
        <x:v>Magdiel Torres Vanegas</x:v>
      </x:c>
      <x:c r="M20" s="58" t="str">
        <x:v>2026-08-25</x:v>
      </x:c>
      <x:c r="N20" s="58" t="str">
        <x:v>structured_analytical_judgment</x:v>
      </x:c>
    </x:row>
    <x:row r="21" ht="15" hidden="0" customHeight="1">
      <x:c r="A21" s="57" t="str">
        <x:v>continuidad_hibrida</x:v>
      </x:c>
      <x:c r="B21" s="57" t="str">
        <x:v>Continuidad híbrida y estabilización competitiva</x:v>
      </x:c>
      <x:c r="C21" s="57" t="str">
        <x:v>Political participation</x:v>
      </x:c>
      <x:c r="D21" s="57" t="str">
        <x:v>Participación política</x:v>
      </x:c>
      <x:c r="E21" s="57" t="str">
        <x:v>annual_structural_rate</x:v>
      </x:c>
      <x:c r="F21" s="60" t="n">
        <x:v>0.02</x:v>
      </x:c>
      <x:c r="G21" s="60" t="n">
        <x:v>-0.02</x:v>
      </x:c>
      <x:c r="H21" s="60" t="n">
        <x:v>0.06</x:v>
      </x:c>
      <x:c r="I21" s="57" t="str">
        <x:v>E07</x:v>
      </x:c>
      <x:c r="J21" s="57" t="str">
        <x:v>near_neutral</x:v>
      </x:c>
      <x:c r="K21" s="57" t="str">
        <x:v>Persistencia participativa sin reformas sostenidas.</x:v>
      </x:c>
      <x:c r="L21" s="57" t="str">
        <x:v>Magdiel Torres Vanegas</x:v>
      </x:c>
      <x:c r="M21" s="57" t="str">
        <x:v>2026-08-25</x:v>
      </x:c>
      <x:c r="N21" s="57" t="str">
        <x:v>structured_analytical_judgment</x:v>
      </x:c>
    </x:row>
    <x:row r="22" ht="15" hidden="0" customHeight="1">
      <x:c r="A22" s="58" t="str">
        <x:v>continuidad_hibrida</x:v>
      </x:c>
      <x:c r="B22" s="58" t="str">
        <x:v>Continuidad híbrida y estabilización competitiva</x:v>
      </x:c>
      <x:c r="C22" s="58" t="str">
        <x:v>Political culture</x:v>
      </x:c>
      <x:c r="D22" s="58" t="str">
        <x:v>Cultura política</x:v>
      </x:c>
      <x:c r="E22" s="58" t="str">
        <x:v>shock_2026</x:v>
      </x:c>
      <x:c r="F22" s="59" t="n">
        <x:v>-0.1</x:v>
      </x:c>
      <x:c r="G22" s="59" t="n">
        <x:v>-0.2</x:v>
      </x:c>
      <x:c r="H22" s="59" t="n">
        <x:v>0</x:v>
      </x:c>
      <x:c r="I22" s="58" t="str">
        <x:v>E04;E06;E08</x:v>
      </x:c>
      <x:c r="J22" s="58" t="str">
        <x:v>negative</x:v>
      </x:c>
      <x:c r="K22" s="58" t="str">
        <x:v>Polarización y desconfianza contrarrestan la normalización electoral.</x:v>
      </x:c>
      <x:c r="L22" s="58" t="str">
        <x:v>Magdiel Torres Vanegas</x:v>
      </x:c>
      <x:c r="M22" s="58" t="str">
        <x:v>2026-08-25</x:v>
      </x:c>
      <x:c r="N22" s="58" t="str">
        <x:v>structured_analytical_judgment</x:v>
      </x:c>
    </x:row>
    <x:row r="23" ht="15" hidden="0" customHeight="1">
      <x:c r="A23" s="57" t="str">
        <x:v>continuidad_hibrida</x:v>
      </x:c>
      <x:c r="B23" s="57" t="str">
        <x:v>Continuidad híbrida y estabilización competitiva</x:v>
      </x:c>
      <x:c r="C23" s="57" t="str">
        <x:v>Political culture</x:v>
      </x:c>
      <x:c r="D23" s="57" t="str">
        <x:v>Cultura política</x:v>
      </x:c>
      <x:c r="E23" s="57" t="str">
        <x:v>annual_structural_rate</x:v>
      </x:c>
      <x:c r="F23" s="60" t="n">
        <x:v>0</x:v>
      </x:c>
      <x:c r="G23" s="60" t="n">
        <x:v>-0.05</x:v>
      </x:c>
      <x:c r="H23" s="60" t="n">
        <x:v>0.05</x:v>
      </x:c>
      <x:c r="I23" s="57" t="str">
        <x:v>E06;E08</x:v>
      </x:c>
      <x:c r="J23" s="57" t="str">
        <x:v>neutral</x:v>
      </x:c>
      <x:c r="K23" s="57" t="str">
        <x:v>La baja confianza se estabiliza sin recuperación estructural.</x:v>
      </x:c>
      <x:c r="L23" s="57" t="str">
        <x:v>Magdiel Torres Vanegas</x:v>
      </x:c>
      <x:c r="M23" s="57" t="str">
        <x:v>2026-08-25</x:v>
      </x:c>
      <x:c r="N23" s="57" t="str">
        <x:v>structured_analytical_judgment</x:v>
      </x:c>
    </x:row>
    <x:row r="24" ht="15" hidden="0" customHeight="1">
      <x:c r="A24" s="58" t="str">
        <x:v>continuidad_hibrida</x:v>
      </x:c>
      <x:c r="B24" s="58" t="str">
        <x:v>Continuidad híbrida y estabilización competitiva</x:v>
      </x:c>
      <x:c r="C24" s="58" t="str">
        <x:v>Civil liberties</x:v>
      </x:c>
      <x:c r="D24" s="58" t="str">
        <x:v>Libertades civiles</x:v>
      </x:c>
      <x:c r="E24" s="58" t="str">
        <x:v>shock_2026</x:v>
      </x:c>
      <x:c r="F24" s="59" t="n">
        <x:v>-0.08</x:v>
      </x:c>
      <x:c r="G24" s="59" t="n">
        <x:v>-0.16</x:v>
      </x:c>
      <x:c r="H24" s="59" t="n">
        <x:v>0</x:v>
      </x:c>
      <x:c r="I24" s="58" t="str">
        <x:v>E01;E05</x:v>
      </x:c>
      <x:c r="J24" s="58" t="str">
        <x:v>weak_negative</x:v>
      </x:c>
      <x:c r="K24" s="58" t="str">
        <x:v>Agenda de seguridad introduce tensión inicial sobre libertades.</x:v>
      </x:c>
      <x:c r="L24" s="58" t="str">
        <x:v>Magdiel Torres Vanegas</x:v>
      </x:c>
      <x:c r="M24" s="58" t="str">
        <x:v>2026-08-25</x:v>
      </x:c>
      <x:c r="N24" s="58" t="str">
        <x:v>structured_analytical_judgment</x:v>
      </x:c>
    </x:row>
    <x:row r="25" ht="15" hidden="0" customHeight="1">
      <x:c r="A25" s="57" t="str">
        <x:v>continuidad_hibrida</x:v>
      </x:c>
      <x:c r="B25" s="57" t="str">
        <x:v>Continuidad híbrida y estabilización competitiva</x:v>
      </x:c>
      <x:c r="C25" s="57" t="str">
        <x:v>Civil liberties</x:v>
      </x:c>
      <x:c r="D25" s="57" t="str">
        <x:v>Libertades civiles</x:v>
      </x:c>
      <x:c r="E25" s="57" t="str">
        <x:v>annual_structural_rate</x:v>
      </x:c>
      <x:c r="F25" s="60" t="n">
        <x:v>-0.01</x:v>
      </x:c>
      <x:c r="G25" s="60" t="n">
        <x:v>-0.05</x:v>
      </x:c>
      <x:c r="H25" s="60" t="n">
        <x:v>0.03</x:v>
      </x:c>
      <x:c r="I25" s="57" t="str">
        <x:v>E01;E05</x:v>
      </x:c>
      <x:c r="J25" s="57" t="str">
        <x:v>near_neutral</x:v>
      </x:c>
      <x:c r="K25" s="57" t="str">
        <x:v>Controles parciales evitan una erosión acelerada.</x:v>
      </x:c>
      <x:c r="L25" s="57" t="str">
        <x:v>Magdiel Torres Vanegas</x:v>
      </x:c>
      <x:c r="M25" s="57" t="str">
        <x:v>2026-08-25</x:v>
      </x:c>
      <x:c r="N25" s="57" t="str">
        <x:v>structured_analytical_judgment</x:v>
      </x:c>
    </x:row>
    <x:row r="26" ht="15" hidden="0" customHeight="1">
      <x:c r="A26" s="58" t="str">
        <x:v>deriva_restrictiva</x:v>
      </x:c>
      <x:c r="B26" s="58" t="str">
        <x:v>Deriva restrictiva y securitización</x:v>
      </x:c>
      <x:c r="C26" s="58" t="str">
        <x:v>Electoral process and pluralism</x:v>
      </x:c>
      <x:c r="D26" s="58" t="str">
        <x:v>Proceso electoral y pluralismo</x:v>
      </x:c>
      <x:c r="E26" s="58" t="str">
        <x:v>shock_2026</x:v>
      </x:c>
      <x:c r="F26" s="59" t="n">
        <x:v>-0.08</x:v>
      </x:c>
      <x:c r="G26" s="59" t="n">
        <x:v>-0.18</x:v>
      </x:c>
      <x:c r="H26" s="59" t="n">
        <x:v>0.02</x:v>
      </x:c>
      <x:c r="I26" s="58" t="str">
        <x:v>E01;E02;E03;E06</x:v>
      </x:c>
      <x:c r="J26" s="58" t="str">
        <x:v>negative</x:v>
      </x:c>
      <x:c r="K26" s="58" t="str">
        <x:v>Conflicto de legitimidad reduce la calidad electoral sin eliminar la competencia.</x:v>
      </x:c>
      <x:c r="L26" s="58" t="str">
        <x:v>Magdiel Torres Vanegas</x:v>
      </x:c>
      <x:c r="M26" s="58" t="str">
        <x:v>2026-08-25</x:v>
      </x:c>
      <x:c r="N26" s="58" t="str">
        <x:v>structured_analytical_judgment</x:v>
      </x:c>
    </x:row>
    <x:row r="27" ht="15" hidden="0" customHeight="1">
      <x:c r="A27" s="57" t="str">
        <x:v>deriva_restrictiva</x:v>
      </x:c>
      <x:c r="B27" s="57" t="str">
        <x:v>Deriva restrictiva y securitización</x:v>
      </x:c>
      <x:c r="C27" s="57" t="str">
        <x:v>Electoral process and pluralism</x:v>
      </x:c>
      <x:c r="D27" s="57" t="str">
        <x:v>Proceso electoral y pluralismo</x:v>
      </x:c>
      <x:c r="E27" s="57" t="str">
        <x:v>annual_structural_rate</x:v>
      </x:c>
      <x:c r="F27" s="60" t="n">
        <x:v>-0.04</x:v>
      </x:c>
      <x:c r="G27" s="60" t="n">
        <x:v>-0.08</x:v>
      </x:c>
      <x:c r="H27" s="60" t="n">
        <x:v>0</x:v>
      </x:c>
      <x:c r="I27" s="57" t="str">
        <x:v>E01;E02;E06</x:v>
      </x:c>
      <x:c r="J27" s="57" t="str">
        <x:v>negative</x:v>
      </x:c>
      <x:c r="K27" s="57" t="str">
        <x:v>Erosión gradual de garantías y confianza electoral.</x:v>
      </x:c>
      <x:c r="L27" s="57" t="str">
        <x:v>Magdiel Torres Vanegas</x:v>
      </x:c>
      <x:c r="M27" s="57" t="str">
        <x:v>2026-08-25</x:v>
      </x:c>
      <x:c r="N27" s="57" t="str">
        <x:v>structured_analytical_judgment</x:v>
      </x:c>
    </x:row>
    <x:row r="28" ht="15" hidden="0" customHeight="1">
      <x:c r="A28" s="58" t="str">
        <x:v>deriva_restrictiva</x:v>
      </x:c>
      <x:c r="B28" s="58" t="str">
        <x:v>Deriva restrictiva y securitización</x:v>
      </x:c>
      <x:c r="C28" s="58" t="str">
        <x:v>Functioning of government</x:v>
      </x:c>
      <x:c r="D28" s="58" t="str">
        <x:v>Funcionamiento del gobierno</x:v>
      </x:c>
      <x:c r="E28" s="58" t="str">
        <x:v>shock_2026</x:v>
      </x:c>
      <x:c r="F28" s="59" t="n">
        <x:v>-0.2</x:v>
      </x:c>
      <x:c r="G28" s="59" t="n">
        <x:v>-0.32</x:v>
      </x:c>
      <x:c r="H28" s="59" t="n">
        <x:v>-0.08</x:v>
      </x:c>
      <x:c r="I28" s="58" t="str">
        <x:v>E05;E06;E08;E09</x:v>
      </x:c>
      <x:c r="J28" s="58" t="str">
        <x:v>negative</x:v>
      </x:c>
      <x:c r="K28" s="58" t="str">
        <x:v>Securitización y conflicto Ejecutivo-Congreso deterioran coordinación inicial.</x:v>
      </x:c>
      <x:c r="L28" s="58" t="str">
        <x:v>Magdiel Torres Vanegas</x:v>
      </x:c>
      <x:c r="M28" s="58" t="str">
        <x:v>2026-08-25</x:v>
      </x:c>
      <x:c r="N28" s="58" t="str">
        <x:v>structured_analytical_judgment</x:v>
      </x:c>
    </x:row>
    <x:row r="29" ht="15" hidden="0" customHeight="1">
      <x:c r="A29" s="57" t="str">
        <x:v>deriva_restrictiva</x:v>
      </x:c>
      <x:c r="B29" s="57" t="str">
        <x:v>Deriva restrictiva y securitización</x:v>
      </x:c>
      <x:c r="C29" s="57" t="str">
        <x:v>Functioning of government</x:v>
      </x:c>
      <x:c r="D29" s="57" t="str">
        <x:v>Funcionamiento del gobierno</x:v>
      </x:c>
      <x:c r="E29" s="57" t="str">
        <x:v>annual_structural_rate</x:v>
      </x:c>
      <x:c r="F29" s="60" t="n">
        <x:v>-0.13</x:v>
      </x:c>
      <x:c r="G29" s="60" t="n">
        <x:v>-0.2</x:v>
      </x:c>
      <x:c r="H29" s="60" t="n">
        <x:v>-0.06</x:v>
      </x:c>
      <x:c r="I29" s="57" t="str">
        <x:v>E05;E06;E08</x:v>
      </x:c>
      <x:c r="J29" s="57" t="str">
        <x:v>negative</x:v>
      </x:c>
      <x:c r="K29" s="57" t="str">
        <x:v>Persistencia de excepcionalidad y debilitamiento de controles reducen desempeño institucional.</x:v>
      </x:c>
      <x:c r="L29" s="57" t="str">
        <x:v>Magdiel Torres Vanegas</x:v>
      </x:c>
      <x:c r="M29" s="57" t="str">
        <x:v>2026-08-25</x:v>
      </x:c>
      <x:c r="N29" s="57" t="str">
        <x:v>structured_analytical_judgment</x:v>
      </x:c>
    </x:row>
    <x:row r="30" ht="15" hidden="0" customHeight="1">
      <x:c r="A30" s="58" t="str">
        <x:v>deriva_restrictiva</x:v>
      </x:c>
      <x:c r="B30" s="58" t="str">
        <x:v>Deriva restrictiva y securitización</x:v>
      </x:c>
      <x:c r="C30" s="58" t="str">
        <x:v>Political participation</x:v>
      </x:c>
      <x:c r="D30" s="58" t="str">
        <x:v>Participación política</x:v>
      </x:c>
      <x:c r="E30" s="58" t="str">
        <x:v>shock_2026</x:v>
      </x:c>
      <x:c r="F30" s="59" t="n">
        <x:v>-0.05</x:v>
      </x:c>
      <x:c r="G30" s="59" t="n">
        <x:v>-0.14</x:v>
      </x:c>
      <x:c r="H30" s="59" t="n">
        <x:v>0.04</x:v>
      </x:c>
      <x:c r="I30" s="58" t="str">
        <x:v>E05;E07;E09</x:v>
      </x:c>
      <x:c r="J30" s="58" t="str">
        <x:v>weak_negative</x:v>
      </x:c>
      <x:c r="K30" s="58" t="str">
        <x:v>Restricción y desencanto reducen parcialmente la participación.</x:v>
      </x:c>
      <x:c r="L30" s="58" t="str">
        <x:v>Magdiel Torres Vanegas</x:v>
      </x:c>
      <x:c r="M30" s="58" t="str">
        <x:v>2026-08-25</x:v>
      </x:c>
      <x:c r="N30" s="58" t="str">
        <x:v>structured_analytical_judgment</x:v>
      </x:c>
    </x:row>
    <x:row r="31" ht="15" hidden="0" customHeight="1">
      <x:c r="A31" s="57" t="str">
        <x:v>deriva_restrictiva</x:v>
      </x:c>
      <x:c r="B31" s="57" t="str">
        <x:v>Deriva restrictiva y securitización</x:v>
      </x:c>
      <x:c r="C31" s="57" t="str">
        <x:v>Political participation</x:v>
      </x:c>
      <x:c r="D31" s="57" t="str">
        <x:v>Participación política</x:v>
      </x:c>
      <x:c r="E31" s="57" t="str">
        <x:v>annual_structural_rate</x:v>
      </x:c>
      <x:c r="F31" s="60" t="n">
        <x:v>-0.07</x:v>
      </x:c>
      <x:c r="G31" s="60" t="n">
        <x:v>-0.12</x:v>
      </x:c>
      <x:c r="H31" s="60" t="n">
        <x:v>-0.02</x:v>
      </x:c>
      <x:c r="I31" s="57" t="str">
        <x:v>E05;E07</x:v>
      </x:c>
      <x:c r="J31" s="57" t="str">
        <x:v>negative</x:v>
      </x:c>
      <x:c r="K31" s="57" t="str">
        <x:v>Desmovilización y barreras acumulativas sostienen el descenso.</x:v>
      </x:c>
      <x:c r="L31" s="57" t="str">
        <x:v>Magdiel Torres Vanegas</x:v>
      </x:c>
      <x:c r="M31" s="57" t="str">
        <x:v>2026-08-25</x:v>
      </x:c>
      <x:c r="N31" s="57" t="str">
        <x:v>structured_analytical_judgment</x:v>
      </x:c>
    </x:row>
    <x:row r="32" ht="15" hidden="0" customHeight="1">
      <x:c r="A32" s="58" t="str">
        <x:v>deriva_restrictiva</x:v>
      </x:c>
      <x:c r="B32" s="58" t="str">
        <x:v>Deriva restrictiva y securitización</x:v>
      </x:c>
      <x:c r="C32" s="58" t="str">
        <x:v>Political culture</x:v>
      </x:c>
      <x:c r="D32" s="58" t="str">
        <x:v>Cultura política</x:v>
      </x:c>
      <x:c r="E32" s="58" t="str">
        <x:v>shock_2026</x:v>
      </x:c>
      <x:c r="F32" s="59" t="n">
        <x:v>-0.25</x:v>
      </x:c>
      <x:c r="G32" s="59" t="n">
        <x:v>-0.4</x:v>
      </x:c>
      <x:c r="H32" s="59" t="n">
        <x:v>-0.1</x:v>
      </x:c>
      <x:c r="I32" s="58" t="str">
        <x:v>E04;E06;E08;E09</x:v>
      </x:c>
      <x:c r="J32" s="58" t="str">
        <x:v>negative</x:v>
      </x:c>
      <x:c r="K32" s="58" t="str">
        <x:v>Polarización intensa y baja legitimidad agravan el punto de partida.</x:v>
      </x:c>
      <x:c r="L32" s="58" t="str">
        <x:v>Magdiel Torres Vanegas</x:v>
      </x:c>
      <x:c r="M32" s="58" t="str">
        <x:v>2026-08-25</x:v>
      </x:c>
      <x:c r="N32" s="58" t="str">
        <x:v>structured_analytical_judgment</x:v>
      </x:c>
    </x:row>
    <x:row r="33" ht="15" hidden="0" customHeight="1">
      <x:c r="A33" s="57" t="str">
        <x:v>deriva_restrictiva</x:v>
      </x:c>
      <x:c r="B33" s="57" t="str">
        <x:v>Deriva restrictiva y securitización</x:v>
      </x:c>
      <x:c r="C33" s="57" t="str">
        <x:v>Political culture</x:v>
      </x:c>
      <x:c r="D33" s="57" t="str">
        <x:v>Cultura política</x:v>
      </x:c>
      <x:c r="E33" s="57" t="str">
        <x:v>annual_structural_rate</x:v>
      </x:c>
      <x:c r="F33" s="60" t="n">
        <x:v>-0.13</x:v>
      </x:c>
      <x:c r="G33" s="60" t="n">
        <x:v>-0.21</x:v>
      </x:c>
      <x:c r="H33" s="60" t="n">
        <x:v>-0.05</x:v>
      </x:c>
      <x:c r="I33" s="57" t="str">
        <x:v>E04;E06;E08</x:v>
      </x:c>
      <x:c r="J33" s="57" t="str">
        <x:v>negative</x:v>
      </x:c>
      <x:c r="K33" s="57" t="str">
        <x:v>Persistencia de confrontación deteriora gradualmente la cultura democrática.</x:v>
      </x:c>
      <x:c r="L33" s="57" t="str">
        <x:v>Magdiel Torres Vanegas</x:v>
      </x:c>
      <x:c r="M33" s="57" t="str">
        <x:v>2026-08-25</x:v>
      </x:c>
      <x:c r="N33" s="57" t="str">
        <x:v>structured_analytical_judgment</x:v>
      </x:c>
    </x:row>
    <x:row r="34" ht="15" hidden="0" customHeight="1">
      <x:c r="A34" s="58" t="str">
        <x:v>deriva_restrictiva</x:v>
      </x:c>
      <x:c r="B34" s="58" t="str">
        <x:v>Deriva restrictiva y securitización</x:v>
      </x:c>
      <x:c r="C34" s="58" t="str">
        <x:v>Civil liberties</x:v>
      </x:c>
      <x:c r="D34" s="58" t="str">
        <x:v>Libertades civiles</x:v>
      </x:c>
      <x:c r="E34" s="58" t="str">
        <x:v>shock_2026</x:v>
      </x:c>
      <x:c r="F34" s="59" t="n">
        <x:v>-0.28</x:v>
      </x:c>
      <x:c r="G34" s="59" t="n">
        <x:v>-0.42</x:v>
      </x:c>
      <x:c r="H34" s="59" t="n">
        <x:v>-0.14</x:v>
      </x:c>
      <x:c r="I34" s="58" t="str">
        <x:v>E01;E05;E09</x:v>
      </x:c>
      <x:c r="J34" s="58" t="str">
        <x:v>negative</x:v>
      </x:c>
      <x:c r="K34" s="58" t="str">
        <x:v>Medidas securitarias sin salvaguardas generan el mayor impacto inicial.</x:v>
      </x:c>
      <x:c r="L34" s="58" t="str">
        <x:v>Magdiel Torres Vanegas</x:v>
      </x:c>
      <x:c r="M34" s="58" t="str">
        <x:v>2026-08-25</x:v>
      </x:c>
      <x:c r="N34" s="58" t="str">
        <x:v>structured_analytical_judgment</x:v>
      </x:c>
    </x:row>
    <x:row r="35" ht="15" hidden="0" customHeight="1">
      <x:c r="A35" s="57" t="str">
        <x:v>deriva_restrictiva</x:v>
      </x:c>
      <x:c r="B35" s="57" t="str">
        <x:v>Deriva restrictiva y securitización</x:v>
      </x:c>
      <x:c r="C35" s="57" t="str">
        <x:v>Civil liberties</x:v>
      </x:c>
      <x:c r="D35" s="57" t="str">
        <x:v>Libertades civiles</x:v>
      </x:c>
      <x:c r="E35" s="57" t="str">
        <x:v>annual_structural_rate</x:v>
      </x:c>
      <x:c r="F35" s="60" t="n">
        <x:v>-0.16</x:v>
      </x:c>
      <x:c r="G35" s="60" t="n">
        <x:v>-0.24</x:v>
      </x:c>
      <x:c r="H35" s="60" t="n">
        <x:v>-0.08</x:v>
      </x:c>
      <x:c r="I35" s="57" t="str">
        <x:v>E01;E05;E09</x:v>
      </x:c>
      <x:c r="J35" s="57" t="str">
        <x:v>negative</x:v>
      </x:c>
      <x:c r="K35" s="57" t="str">
        <x:v>Normalización de restricciones acumula deterioro anual.</x:v>
      </x:c>
      <x:c r="L35" s="57" t="str">
        <x:v>Magdiel Torres Vanegas</x:v>
      </x:c>
      <x:c r="M35" s="57" t="str">
        <x:v>2026-08-25</x:v>
      </x:c>
      <x:c r="N35" s="57" t="str">
        <x:v>structured_analytical_judgment</x:v>
      </x:c>
    </x:row>
  </x:sheetData>
  <x:mergeCells>
    <x:mergeCell ref="A1:N1"/>
    <x:mergeCell ref="A2:N2"/>
  </x:mergeCells>
  <x:pageMargins left="0.7" right="0.7" top="0.75" bottom="0.75" header="0.3" footer="0.3"/>
  <x:tableParts count="1">
    <x:tablePart xmlns:r="http://schemas.openxmlformats.org/officeDocument/2006/relationships" r:id="R3c186b9094e54c3d"/>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44" hidden="0" customWidth="1"/>
    <x:col min="5" max="5" width="44" hidden="0" customWidth="1"/>
    <x:col min="6" max="6" width="44" hidden="0" customWidth="1"/>
    <x:col min="7" max="7" width="44" hidden="0" customWidth="1"/>
    <x:col min="8" max="8" width="44" hidden="0" customWidth="1"/>
    <x:col min="9" max="9" width="34" hidden="0" customWidth="1"/>
    <x:col min="10" max="10" width="34" hidden="0" customWidth="1"/>
  </x:cols>
  <x:sheetData>
    <x:row r="1" ht="19.200000762939453" hidden="0" customHeight="1">
      <x:c r="A1" s="3" t="str">
        <x:v>Registro de evidencia postelectoral 2026</x:v>
      </x:c>
      <x:c r="B1" s="3" t="str">
        <x:v>Registro de evidencia postelectoral 2026</x:v>
      </x:c>
      <x:c r="C1" s="3" t="str">
        <x:v>Registro de evidencia postelectoral 2026</x:v>
      </x:c>
      <x:c r="D1" s="3" t="str">
        <x:v>Registro de evidencia postelectoral 2026</x:v>
      </x:c>
      <x:c r="E1" s="3" t="str">
        <x:v>Registro de evidencia postelectoral 2026</x:v>
      </x:c>
      <x:c r="F1" s="3" t="str">
        <x:v>Registro de evidencia postelectoral 2026</x:v>
      </x:c>
      <x:c r="G1" s="3" t="str">
        <x:v>Registro de evidencia postelectoral 2026</x:v>
      </x:c>
      <x:c r="H1" s="3" t="str">
        <x:v>Registro de evidencia postelectoral 2026</x:v>
      </x:c>
      <x:c r="I1" s="3" t="str">
        <x:v>Registro de evidencia postelectoral 2026</x:v>
      </x:c>
      <x:c r="J1" s="3" t="str">
        <x:v>Registro de evidencia postelectoral 2026</x:v>
      </x:c>
    </x:row>
    <x:row r="2" ht="15" hidden="0" customHeight="1">
      <x:c r="A2" s="7" t="str">
        <x:v>La prioridad de fuente es categórica; computational_use=false impide interpretar el registro como ponderación numérica del modelo.</x:v>
      </x:c>
      <x:c r="B2" s="7" t="str">
        <x:v>La prioridad de fuente es categórica; computational_use=false impide interpretar el registro como ponderación numérica del modelo.</x:v>
      </x:c>
      <x:c r="C2" s="7" t="str">
        <x:v>La prioridad de fuente es categórica; computational_use=false impide interpretar el registro como ponderación numérica del modelo.</x:v>
      </x:c>
      <x:c r="D2" s="7" t="str">
        <x:v>La prioridad de fuente es categórica; computational_use=false impide interpretar el registro como ponderación numérica del modelo.</x:v>
      </x:c>
      <x:c r="E2" s="7" t="str">
        <x:v>La prioridad de fuente es categórica; computational_use=false impide interpretar el registro como ponderación numérica del modelo.</x:v>
      </x:c>
      <x:c r="F2" s="7" t="str">
        <x:v>La prioridad de fuente es categórica; computational_use=false impide interpretar el registro como ponderación numérica del modelo.</x:v>
      </x:c>
      <x:c r="G2" s="7" t="str">
        <x:v>La prioridad de fuente es categórica; computational_use=false impide interpretar el registro como ponderación numérica del modelo.</x:v>
      </x:c>
      <x:c r="H2" s="7" t="str">
        <x:v>La prioridad de fuente es categórica; computational_use=false impide interpretar el registro como ponderación numérica del modelo.</x:v>
      </x:c>
      <x:c r="I2" s="7" t="str">
        <x:v>La prioridad de fuente es categórica; computational_use=false impide interpretar el registro como ponderación numérica del modelo.</x:v>
      </x:c>
      <x:c r="J2" s="7" t="str">
        <x:v>La prioridad de fuente es categórica; computational_use=false impide interpretar el registro como ponderación numérica del modelo.</x:v>
      </x:c>
    </x:row>
    <x:row r="3" ht="15" hidden="0" customHeight="1">
      <x:c r="A3" s="8"/>
      <x:c r="B3" s="8"/>
      <x:c r="C3" s="8"/>
      <x:c r="D3" s="8"/>
      <x:c r="E3" s="8"/>
      <x:c r="F3" s="8"/>
      <x:c r="G3" s="8"/>
      <x:c r="H3" s="8"/>
      <x:c r="I3" s="8"/>
      <x:c r="J3" s="8"/>
    </x:row>
    <x:row r="4"/>
    <x:row r="5" ht="15" hidden="0" customHeight="1">
      <x:c r="A5" s="14" t="str">
        <x:v>id</x:v>
      </x:c>
      <x:c r="B5" s="14" t="str">
        <x:v>date</x:v>
      </x:c>
      <x:c r="C5" s="14" t="str">
        <x:v>type</x:v>
      </x:c>
      <x:c r="D5" s="14" t="str">
        <x:v>source</x:v>
      </x:c>
      <x:c r="E5" s="14" t="str">
        <x:v>title</x:v>
      </x:c>
      <x:c r="F5" s="14" t="str">
        <x:v>signal</x:v>
      </x:c>
      <x:c r="G5" s="14" t="str">
        <x:v>model_dimensions</x:v>
      </x:c>
      <x:c r="H5" s="14" t="str">
        <x:v>url</x:v>
      </x:c>
      <x:c r="I5" s="14" t="str">
        <x:v>source_priority</x:v>
      </x:c>
      <x:c r="J5" s="14" t="str">
        <x:v>computational_use</x:v>
      </x:c>
    </x:row>
    <x:row r="6" ht="15" hidden="0" customHeight="1">
      <x:c r="A6" s="58" t="str">
        <x:v>E01</x:v>
      </x:c>
      <x:c r="B6" s="58" t="str">
        <x:v>2026-08-17</x:v>
      </x:c>
      <x:c r="C6" s="58" t="str">
        <x:v>international_observation_final</x:v>
      </x:c>
      <x:c r="D6" s="58" t="str">
        <x:v>European Union Election Observation Mission</x:v>
      </x:c>
      <x:c r="E6" s="58" t="str">
        <x:v>PERU 2026: Final Report - General elections and Presidential run-off</x:v>
      </x:c>
      <x:c r="F6" s="58" t="str">
        <x:v>Final post-electoral assessment and recommendations; used as the strongest post-election institutional evidence input.</x:v>
      </x:c>
      <x:c r="G6" s="58" t="str">
        <x:v>electoral_integrity;governance;rights</x:v>
      </x:c>
      <x:c r="H6" s="58" t="str">
        <x:v>https://www.eeas.europa.eu/eom-peru-2026/peru-2026-final-report-general-elections-and-presidential-run_en</x:v>
      </x:c>
      <x:c r="I6" s="58" t="str">
        <x:v>primary_observation</x:v>
      </x:c>
      <x:c r="J6" s="89" t="b">
        <x:v>0</x:v>
      </x:c>
    </x:row>
    <x:row r="7" ht="15" hidden="0" customHeight="1">
      <x:c r="A7" s="57" t="str">
        <x:v>E02</x:v>
      </x:c>
      <x:c r="B7" s="57" t="str">
        <x:v>2026-07-08</x:v>
      </x:c>
      <x:c r="C7" s="57" t="str">
        <x:v>international_observation</x:v>
      </x:c>
      <x:c r="D7" s="57" t="str">
        <x:v>Organization of American States</x:v>
      </x:c>
      <x:c r="E7" s="57" t="str">
        <x:v>Segundo Informe de la Misión de Observación Electoral de la OEA en Perú para la Segunda Elección Presidencial 2026</x:v>
      </x:c>
      <x:c r="F7" s="57" t="str">
        <x:v>Documents the post-electoral review phase and institutional guarantees/risks after the runoff.</x:v>
      </x:c>
      <x:c r="G7" s="57" t="str">
        <x:v>electoral_integrity;legitimacy</x:v>
      </x:c>
      <x:c r="H7" s="57" t="str">
        <x:v>https://www.oas.org/es/centro_noticias/comunicado_prensa.asp?sCodigo=D-017%2F26</x:v>
      </x:c>
      <x:c r="I7" s="57" t="str">
        <x:v>primary_observation</x:v>
      </x:c>
      <x:c r="J7" s="88" t="b">
        <x:v>0</x:v>
      </x:c>
    </x:row>
    <x:row r="8" ht="15" hidden="0" customHeight="1">
      <x:c r="A8" s="58" t="str">
        <x:v>E03</x:v>
      </x:c>
      <x:c r="B8" s="58" t="str">
        <x:v>2026-07-03</x:v>
      </x:c>
      <x:c r="C8" s="58" t="str">
        <x:v>official_result</x:v>
      </x:c>
      <x:c r="D8" s="58" t="str">
        <x:v>Jurado Nacional de Elecciones</x:v>
      </x:c>
      <x:c r="E8" s="58" t="str">
        <x:v>Elecciones Generales 2026 - proclamación y credencial presidencial</x:v>
      </x:c>
      <x:c r="F8" s="58" t="str">
        <x:v>Official proclamation of Keiko Fujimori Higuchi as president-elect; resolves the election outcome used in scenario conditioning.</x:v>
      </x:c>
      <x:c r="G8" s="58" t="str">
        <x:v>electoral_outcome;legitimacy</x:v>
      </x:c>
      <x:c r="H8" s="58" t="str">
        <x:v>https://portal.jne.gob.pe/portal/Pagina/Ver/979/page/Elecciones-Generales-2026</x:v>
      </x:c>
      <x:c r="I8" s="58" t="str">
        <x:v>primary_official</x:v>
      </x:c>
      <x:c r="J8" s="89" t="b">
        <x:v>0</x:v>
      </x:c>
    </x:row>
    <x:row r="9" ht="15" hidden="0" customHeight="1">
      <x:c r="A9" s="57" t="str">
        <x:v>E04</x:v>
      </x:c>
      <x:c r="B9" s="57" t="str">
        <x:v>2026-07-03</x:v>
      </x:c>
      <x:c r="C9" s="57" t="str">
        <x:v>news_wire</x:v>
      </x:c>
      <x:c r="D9" s="57" t="str">
        <x:v>Reuters</x:v>
      </x:c>
      <x:c r="E9" s="57" t="str">
        <x:v>Keiko Fujimori declared winner of Peru presidential race</x:v>
      </x:c>
      <x:c r="F9" s="57" t="str">
        <x:v>Runoff result 50.135% vs 49.865%, roughly 50,000-vote margin; highlights deep polarization and fragmented Congress.</x:v>
      </x:c>
      <x:c r="G9" s="57" t="str">
        <x:v>polarization;governability;legitimacy</x:v>
      </x:c>
      <x:c r="H9" s="57" t="str">
        <x:v>https://www.reuters.com/world/americas/keiko-fujimori-declared-winner-peru-presidential-race-2026-07-03/</x:v>
      </x:c>
      <x:c r="I9" s="57" t="str">
        <x:v>secondary_context</x:v>
      </x:c>
      <x:c r="J9" s="88" t="b">
        <x:v>0</x:v>
      </x:c>
    </x:row>
    <x:row r="10" ht="15" hidden="0" customHeight="1">
      <x:c r="A10" s="58" t="str">
        <x:v>E05</x:v>
      </x:c>
      <x:c r="B10" s="58" t="str">
        <x:v>2026-07-28</x:v>
      </x:c>
      <x:c r="C10" s="58" t="str">
        <x:v>post_inauguration_news</x:v>
      </x:c>
      <x:c r="D10" s="58" t="str">
        <x:v>Associated Press</x:v>
      </x:c>
      <x:c r="E10" s="58" t="str">
        <x:v>Keiko Fujimori is inaugurated as Peru president following a narrow election victory</x:v>
      </x:c>
      <x:c r="F10" s="58" t="str">
        <x:v>Post-inauguration evidence on security agenda and bicameral legislative support constraints/opportunities.</x:v>
      </x:c>
      <x:c r="G10" s="58" t="str">
        <x:v>security;governability;rights</x:v>
      </x:c>
      <x:c r="H10" s="58" t="str">
        <x:v>https://apnews.com/article/84d08998b1629c95f0383d7b5a7a7f6b</x:v>
      </x:c>
      <x:c r="I10" s="58" t="str">
        <x:v>secondary_context</x:v>
      </x:c>
      <x:c r="J10" s="89" t="b">
        <x:v>0</x:v>
      </x:c>
    </x:row>
    <x:row r="11" ht="15" hidden="0" customHeight="1">
      <x:c r="A11" s="57" t="str">
        <x:v>E06</x:v>
      </x:c>
      <x:c r="B11" s="57" t="str">
        <x:v>2026-06-24</x:v>
      </x:c>
      <x:c r="C11" s="57" t="str">
        <x:v>expert_analysis</x:v>
      </x:c>
      <x:c r="D11" s="57" t="str">
        <x:v>European Center for Populism Studies</x:v>
      </x:c>
      <x:c r="E11" s="57" t="str">
        <x:v>Prof. Carrión: I Am Very Pessimistic About the Prospects for Peruvian Democracy</x:v>
      </x:c>
      <x:c r="F11" s="57" t="str">
        <x:v>Expert post-runoff diagnosis of representation weakness, institutional distrust, fragmentation and legitimacy erosion.</x:v>
      </x:c>
      <x:c r="G11" s="57" t="str">
        <x:v>political_culture;governability;polarization</x:v>
      </x:c>
      <x:c r="H11" s="57" t="str">
        <x:v>https://www.populismstudies.org/prof-carrion-i-am-very-pessimistic-about-the-prospects-for-peruvian-democracy/</x:v>
      </x:c>
      <x:c r="I11" s="57" t="str">
        <x:v>expert_context</x:v>
      </x:c>
      <x:c r="J11" s="88" t="b">
        <x:v>0</x:v>
      </x:c>
    </x:row>
    <x:row r="12" ht="15" hidden="0" customHeight="1">
      <x:c r="A12" s="58" t="str">
        <x:v>E07</x:v>
      </x:c>
      <x:c r="B12" s="58" t="str">
        <x:v>2026-06-01</x:v>
      </x:c>
      <x:c r="C12" s="58" t="str">
        <x:v>working_paper</x:v>
      </x:c>
      <x:c r="D12" s="58" t="str">
        <x:v>arXiv / authors</x:v>
      </x:c>
      <x:c r="E12" s="58" t="str">
        <x:v>Information and voting: Evidence from Peru's 2026 presidential election</x:v>
      </x:c>
      <x:c r="F12" s="58" t="str">
        <x:v>Natural experiment on information effects in a fragmented presidential election; informs participation/information-system sensitivity.</x:v>
      </x:c>
      <x:c r="G12" s="58" t="str">
        <x:v>participation;electoral_information</x:v>
      </x:c>
      <x:c r="H12" s="58" t="str">
        <x:v>https://arxiv.org/abs/2606.01687</x:v>
      </x:c>
      <x:c r="I12" s="58" t="str">
        <x:v>academic_working_paper</x:v>
      </x:c>
      <x:c r="J12" s="89" t="b">
        <x:v>0</x:v>
      </x:c>
    </x:row>
    <x:row r="13" ht="15" hidden="0" customHeight="1">
      <x:c r="A13" s="57" t="str">
        <x:v>E08</x:v>
      </x:c>
      <x:c r="B13" s="57" t="str">
        <x:v>2026-01-01</x:v>
      </x:c>
      <x:c r="C13" s="57" t="str">
        <x:v>country_assessment</x:v>
      </x:c>
      <x:c r="D13" s="57" t="str">
        <x:v>Bertelsmann Transformation Index</x:v>
      </x:c>
      <x:c r="E13" s="57" t="str">
        <x:v>BTI 2026 Peru Country Report</x:v>
      </x:c>
      <x:c r="F13" s="57" t="str">
        <x:v>Structural baseline: weak parties, short-term political calculations and fragile commitment to democratic institutions.</x:v>
      </x:c>
      <x:c r="G13" s="57" t="str">
        <x:v>governance;political_culture;rule_of_law</x:v>
      </x:c>
      <x:c r="H13" s="57" t="str">
        <x:v>https://bti-project.org/en/reports/country-report/PER</x:v>
      </x:c>
      <x:c r="I13" s="57" t="str">
        <x:v>institutional_assessment</x:v>
      </x:c>
      <x:c r="J13" s="88" t="b">
        <x:v>0</x:v>
      </x:c>
    </x:row>
    <x:row r="14" ht="15" hidden="0" customHeight="1">
      <x:c r="A14" s="58" t="str">
        <x:v>E09</x:v>
      </x:c>
      <x:c r="B14" s="58" t="str">
        <x:v>2026-01-01</x:v>
      </x:c>
      <x:c r="C14" s="58" t="str">
        <x:v>official_index_report</x:v>
      </x:c>
      <x:c r="D14" s="58" t="str">
        <x:v>Economist Intelligence Unit</x:v>
      </x:c>
      <x:c r="E14" s="58" t="str">
        <x:v>Democracy Index 2025: Democracy stabilises after eight years of decline</x:v>
      </x:c>
      <x:c r="F14" s="58" t="str">
        <x:v>2025 empirical anchor; regional recovery but EIU outlook anticipated a likely right-wing populist Peruvian government and hard-line security policy.</x:v>
      </x:c>
      <x:c r="G14" s="58" t="str">
        <x:v>overall;security;regional_context</x:v>
      </x:c>
      <x:c r="H14" s="58" t="str">
        <x:v>https://www.eiu.com/n/campaigns/democracy-index-2025/</x:v>
      </x:c>
      <x:c r="I14" s="58" t="str">
        <x:v>primary_index_report</x:v>
      </x:c>
      <x:c r="J14" s="89" t="b">
        <x:v>0</x:v>
      </x:c>
    </x:row>
  </x:sheetData>
  <x:mergeCells>
    <x:mergeCell ref="A1:J1"/>
    <x:mergeCell ref="A2:J2"/>
  </x:mergeCells>
  <x:pageMargins left="0.7" right="0.7" top="0.75" bottom="0.75" header="0.3" footer="0.3"/>
  <x:tableParts count="1">
    <x:tablePart xmlns:r="http://schemas.openxmlformats.org/officeDocument/2006/relationships" r:id="Rd7f0659c4cce4f9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6" hidden="0" customWidth="1"/>
    <x:col min="2" max="2" width="46" hidden="0" customWidth="1"/>
    <x:col min="3" max="3" width="44" hidden="0" customWidth="1"/>
    <x:col min="4" max="4" width="44" hidden="0" customWidth="1"/>
  </x:cols>
  <x:sheetData>
    <x:row r="1" ht="19.200000762939453" hidden="0" customHeight="1">
      <x:c r="A1" s="3" t="str">
        <x:v>Registro de estados epistemológicos</x:v>
      </x:c>
      <x:c r="B1" s="3" t="str">
        <x:v>Registro de estados epistemológicos</x:v>
      </x:c>
      <x:c r="C1" s="3" t="str">
        <x:v>Registro de estados epistemológicos</x:v>
      </x:c>
      <x:c r="D1" s="3" t="str">
        <x:v>Registro de estados epistemológicos</x:v>
      </x:c>
    </x:row>
    <x:row r="2" ht="15" hidden="0" customHeight="1">
      <x:c r="A2" s="7" t="str">
        <x:v>Vocabulario controlado que separa observación publicada, agregado secundario, ancla latente, ensamble y simulación prospectiva.</x:v>
      </x:c>
      <x:c r="B2" s="7" t="str">
        <x:v>Vocabulario controlado que separa observación publicada, agregado secundario, ancla latente, ensamble y simulación prospectiva.</x:v>
      </x:c>
      <x:c r="C2" s="7" t="str">
        <x:v>Vocabulario controlado que separa observación publicada, agregado secundario, ancla latente, ensamble y simulación prospectiva.</x:v>
      </x:c>
      <x:c r="D2" s="7" t="str">
        <x:v>Vocabulario controlado que separa observación publicada, agregado secundario, ancla latente, ensamble y simulación prospectiva.</x:v>
      </x:c>
    </x:row>
    <x:row r="3" ht="15" hidden="0" customHeight="1">
      <x:c r="A3" s="8"/>
      <x:c r="B3" s="8"/>
      <x:c r="C3" s="8"/>
      <x:c r="D3" s="8"/>
    </x:row>
    <x:row r="4"/>
    <x:row r="5" ht="15" hidden="0" customHeight="1">
      <x:c r="A5" s="14" t="str">
        <x:v>status_id</x:v>
      </x:c>
      <x:c r="B5" s="14" t="str">
        <x:v>label_es</x:v>
      </x:c>
      <x:c r="C5" s="14" t="str">
        <x:v>definition</x:v>
      </x:c>
      <x:c r="D5" s="14" t="str">
        <x:v>allowed_use</x:v>
      </x:c>
    </x:row>
    <x:row r="6" ht="15" hidden="0" customHeight="1">
      <x:c r="A6" s="58" t="str">
        <x:v>observed_EIU</x:v>
      </x:c>
      <x:c r="B6" s="58" t="str">
        <x:v>Observado en edición EIU</x:v>
      </x:c>
      <x:c r="C6" s="58" t="str">
        <x:v>Identificador heredado para valores publicados en ediciones o tablas EIU</x:v>
      </x:c>
      <x:c r="D6" s="58" t="str">
        <x:v>Citar como dato observado con edición y localización</x:v>
      </x:c>
    </x:row>
    <x:row r="7" ht="15" hidden="0" customHeight="1">
      <x:c r="A7" s="57" t="str">
        <x:v>official_source_observed</x:v>
      </x:c>
      <x:c r="B7" s="57" t="str">
        <x:v>Observado en fuente oficial</x:v>
      </x:c>
      <x:c r="C7" s="57" t="str">
        <x:v>Valor publicado directamente en una edición o tabla oficial de la fuente</x:v>
      </x:c>
      <x:c r="D7" s="57" t="str">
        <x:v>Citar como dato observado con edición y localización</x:v>
      </x:c>
    </x:row>
    <x:row r="8" ht="15" hidden="0" customHeight="1">
      <x:c r="A8" s="58" t="str">
        <x:v>secondary_reported_aggregate</x:v>
      </x:c>
      <x:c r="B8" s="58" t="str">
        <x:v>Agregado reportado secundariamente</x:v>
      </x:c>
      <x:c r="C8" s="58" t="str">
        <x:v>Valor atribuido a la fuente primaria y reproducido en una tabla secundaria; no sustituye la tabla oficial</x:v>
      </x:c>
      <x:c r="D8" s="58" t="str">
        <x:v>Citar con la fuente secundaria y explicitar la limitación</x:v>
      </x:c>
    </x:row>
    <x:row r="9" ht="15" hidden="0" customHeight="1">
      <x:c r="A9" s="57" t="str">
        <x:v>modeled_latent_central</x:v>
      </x:c>
      <x:c r="B9" s="57" t="str">
        <x:v>Centro de ancla latente modelada</x:v>
      </x:c>
      <x:c r="C9" s="57" t="str">
        <x:v>Asignación central construida para distribuir un agregado conocido entre dimensiones no publicadas</x:v>
      </x:c>
      <x:c r="D9" s="57" t="str">
        <x:v>Usar únicamente como centro del modelo y nunca como subpuntaje oficial</x:v>
      </x:c>
    </x:row>
    <x:row r="10" ht="15" hidden="0" customHeight="1">
      <x:c r="A10" s="58" t="str">
        <x:v>modeled_latent_ensemble</x:v>
      </x:c>
      <x:c r="B10" s="58" t="str">
        <x:v>Conjunto de anclas latentes admisibles</x:v>
      </x:c>
      <x:c r="C10" s="58" t="str">
        <x:v>Distribuciones dimensionales compatibles con el agregado y las restricciones documentadas</x:v>
      </x:c>
      <x:c r="D10" s="58" t="str">
        <x:v>Propagar como incertidumbre epistemológica</x:v>
      </x:c>
    </x:row>
    <x:row r="11" ht="15" hidden="0" customHeight="1">
      <x:c r="A11" s="57" t="str">
        <x:v>simulated_scenario</x:v>
      </x:c>
      <x:c r="B11" s="57" t="str">
        <x:v>Simulado bajo escenario</x:v>
      </x:c>
      <x:c r="C11" s="57" t="str">
        <x:v>Resultado de supuestos y perturbaciones explícitas</x:v>
      </x:c>
      <x:c r="D11" s="57" t="str">
        <x:v>Interpretar como trayectoria condicional y no como probabilidad de ocurrencia</x:v>
      </x:c>
    </x:row>
  </x:sheetData>
  <x:mergeCells>
    <x:mergeCell ref="A1:D1"/>
    <x:mergeCell ref="A2:D2"/>
  </x:mergeCells>
  <x:pageMargins left="0.7" right="0.7" top="0.75" bottom="0.75" header="0.3" footer="0.3"/>
  <x:tableParts count="1">
    <x:tablePart xmlns:r="http://schemas.openxmlformats.org/officeDocument/2006/relationships" r:id="Ra1b258faf5684d3c"/>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54" hidden="0" customWidth="1"/>
    <x:col min="2" max="2" width="44" hidden="0" customWidth="1"/>
    <x:col min="3" max="3" width="44" hidden="0" customWidth="1"/>
    <x:col min="4" max="4" width="44" hidden="0" customWidth="1"/>
  </x:cols>
  <x:sheetData>
    <x:row r="1" ht="19.200000762939453" hidden="0" customHeight="1">
      <x:c r="A1" s="3" t="str">
        <x:v>Fórmulas y reglas del modelo v2.1</x:v>
      </x:c>
      <x:c r="B1" s="3" t="str">
        <x:v>Fórmulas y reglas del modelo v2.1</x:v>
      </x:c>
      <x:c r="C1" s="3" t="str">
        <x:v>Fórmulas y reglas del modelo v2.1</x:v>
      </x:c>
      <x:c r="D1" s="3" t="str">
        <x:v>Fórmulas y reglas del modelo v2.1</x:v>
      </x:c>
    </x:row>
    <x:row r="2" ht="15" hidden="0" customHeight="1">
      <x:c r="A2" s="7" t="str">
        <x:v>Resumen legible de las fórmulas computacionales. La especificación completa y las limitaciones están en docs/METODOLOGIA.md.</x:v>
      </x:c>
      <x:c r="B2" s="7" t="str">
        <x:v>Resumen legible de las fórmulas computacionales. La especificación completa y las limitaciones están en docs/METODOLOGIA.md.</x:v>
      </x:c>
      <x:c r="C2" s="7" t="str">
        <x:v>Resumen legible de las fórmulas computacionales. La especificación completa y las limitaciones están en docs/METODOLOGIA.md.</x:v>
      </x:c>
      <x:c r="D2" s="7" t="str">
        <x:v>Resumen legible de las fórmulas computacionales. La especificación completa y las limitaciones están en docs/METODOLOGIA.md.</x:v>
      </x:c>
    </x:row>
    <x:row r="3" ht="15" hidden="0" customHeight="1">
      <x:c r="A3" s="8"/>
      <x:c r="B3" s="8"/>
      <x:c r="C3" s="8"/>
      <x:c r="D3" s="8"/>
    </x:row>
    <x:row r="4"/>
    <x:row r="5" ht="15" hidden="0" customHeight="1">
      <x:c r="A5" s="14" t="str">
        <x:v>formula_id</x:v>
      </x:c>
      <x:c r="B5" s="14" t="str">
        <x:v>component</x:v>
      </x:c>
      <x:c r="C5" s="14" t="str">
        <x:v>formula</x:v>
      </x:c>
      <x:c r="D5" s="14" t="str">
        <x:v>interpretation</x:v>
      </x:c>
    </x:row>
    <x:row r="6" ht="15" hidden="0" customHeight="1">
      <x:c r="A6" s="58" t="str">
        <x:v>M1</x:v>
      </x:c>
      <x:c r="B6" s="58" t="str">
        <x:v>Fixed 2025 aggregate</x:v>
      </x:c>
      <x:c r="C6" s="58" t="str">
        <x:v>mean_i(x_i,2025)=5.88</x:v>
      </x:c>
      <x:c r="D6" s="58" t="str">
        <x:v>The secondary-reported aggregate is fixed while dimensional composition remains latent.</x:v>
      </x:c>
    </x:row>
    <x:row r="7" ht="15" hidden="0" customHeight="1">
      <x:c r="A7" s="57" t="str">
        <x:v>M2</x:v>
      </x:c>
      <x:c r="B7" s="57" t="str">
        <x:v>Latent anchor ensemble</x:v>
      </x:c>
      <x:c r="C7" s="57" t="str">
        <x:v>x_2025 = central_anchor + zero_sum_truncated_perturbation</x:v>
      </x:c>
      <x:c r="D7" s="57" t="str">
        <x:v>Every admissible vector averages exactly 5.88 and stays within documented bounds.</x:v>
      </x:c>
    </x:row>
    <x:row r="8" ht="15" hidden="0" customHeight="1">
      <x:c r="A8" s="58" t="str">
        <x:v>M3</x:v>
      </x:c>
      <x:c r="B8" s="58" t="str">
        <x:v>2026 scenario shock</x:v>
      </x:c>
      <x:c r="C8" s="58" t="str">
        <x:v>x_i,2026=clip(x_i,2025+shock_i,s+epsilon_i,2026,0,10)</x:v>
      </x:c>
      <x:c r="D8" s="58" t="str">
        <x:v>Shock is sampled from a bounded triangular judgement range; epsilon is residual sensitivity.</x:v>
      </x:c>
    </x:row>
    <x:row r="9" ht="15" hidden="0" customHeight="1">
      <x:c r="A9" s="57" t="str">
        <x:v>M4</x:v>
      </x:c>
      <x:c r="B9" s="57" t="str">
        <x:v>2027-2030 structural path</x:v>
      </x:c>
      <x:c r="C9" s="57" t="str">
        <x:v>x_i,t=clip(x_i,t-1+rate_i,s*decay_t*scale+epsilon_i,t,0,10)</x:v>
      </x:c>
      <x:c r="D9" s="57" t="str">
        <x:v>Rate and scale are bounded structured assumptions with deterministic decay.</x:v>
      </x:c>
    </x:row>
    <x:row r="10" ht="15" hidden="0" customHeight="1">
      <x:c r="A10" s="58" t="str">
        <x:v>M5</x:v>
      </x:c>
      <x:c r="B10" s="58" t="str">
        <x:v>Overall score</x:v>
      </x:c>
      <x:c r="C10" s="58" t="str">
        <x:v>D_t=mean_i(x_i,t)</x:v>
      </x:c>
      <x:c r="D10" s="58" t="str">
        <x:v>Simple average of the five modeled dimensions.</x:v>
      </x:c>
    </x:row>
    <x:row r="11" ht="15" hidden="0" customHeight="1">
      <x:c r="A11" s="57" t="str">
        <x:v>M6</x:v>
      </x:c>
      <x:c r="B11" s="57" t="str">
        <x:v>Regime threshold</x:v>
      </x:c>
      <x:c r="C11" s="57" t="str">
        <x:v>&lt;=4 authoritarian; &gt;4 to &lt;=6 hybrid; &gt;6 to &lt;=8 flawed; &gt;8 full</x:v>
      </x:c>
      <x:c r="D11" s="57" t="str">
        <x:v>Classification is applied to the central deterministic score only.</x:v>
      </x:c>
    </x:row>
    <x:row r="12" ht="15" hidden="0" customHeight="1">
      <x:c r="A12" s="58" t="str">
        <x:v>M7</x:v>
      </x:c>
      <x:c r="B12" s="58" t="str">
        <x:v>Residual sigma</x:v>
      </x:c>
      <x:c r="C12" s="58" t="str">
        <x:v>sigma_i=clip(0.25*sd(delta x_i,2020-2024),0.04,0.20)</x:v>
      </x:c>
      <x:c r="D12" s="58" t="str">
        <x:v>Common residual law across all scenarios.</x:v>
      </x:c>
    </x:row>
    <x:row r="13" ht="15" hidden="0" customHeight="1">
      <x:c r="A13" s="57" t="str">
        <x:v>M8</x:v>
      </x:c>
      <x:c r="B13" s="57" t="str">
        <x:v>Residual correlation</x:v>
      </x:c>
      <x:c r="C13" s="57" t="str">
        <x:v>epsilon_i=sigma_i*(sqrt(rho)*z_common+sqrt(1-rho)*z_i); rho~Tri(0.0,0.3,0.6)</x:v>
      </x:c>
      <x:c r="D13" s="57" t="str">
        <x:v>Sensitivity to plausible positive cross-dimensional dependence without estimating covariance from four changes.</x:v>
      </x:c>
    </x:row>
    <x:row r="14" ht="15" hidden="0" customHeight="1">
      <x:c r="A14" s="58" t="str">
        <x:v>M9</x:v>
      </x:c>
      <x:c r="B14" s="58" t="str">
        <x:v>Parameter uncertainty</x:v>
      </x:c>
      <x:c r="C14" s="58" t="str">
        <x:v>shock and rate ~ Tri(plausible_low,central,plausible_high)</x:v>
      </x:c>
      <x:c r="D14" s="58" t="str">
        <x:v>Ranges come from the auditable parameter elicitation matrix and are not causal estimates.</x:v>
      </x:c>
    </x:row>
  </x:sheetData>
  <x:mergeCells>
    <x:mergeCell ref="A1:D1"/>
    <x:mergeCell ref="A2:D2"/>
  </x:mergeCells>
  <x:pageMargins left="0.7" right="0.7" top="0.75" bottom="0.75" header="0.3" footer="0.3"/>
  <x:tableParts count="1">
    <x:tablePart xmlns:r="http://schemas.openxmlformats.org/officeDocument/2006/relationships" r:id="R8eeef90905f949a8"/>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44" hidden="0" customWidth="1"/>
    <x:col min="2" max="2" width="44" hidden="0" customWidth="1"/>
    <x:col min="3" max="3" width="48" hidden="0" customWidth="1"/>
    <x:col min="4" max="4" width="44" hidden="0" customWidth="1"/>
  </x:cols>
  <x:sheetData>
    <x:row r="1" ht="19.200000762939453" hidden="0" customHeight="1">
      <x:c r="A1" s="3" t="str">
        <x:v>Diccionario de datos</x:v>
      </x:c>
      <x:c r="B1" s="3" t="str">
        <x:v>Diccionario de datos</x:v>
      </x:c>
      <x:c r="C1" s="3" t="str">
        <x:v>Diccionario de datos</x:v>
      </x:c>
      <x:c r="D1" s="3" t="str">
        <x:v>Diccionario de datos</x:v>
      </x:c>
    </x:row>
    <x:row r="2" ht="15" hidden="0" customHeight="1">
      <x:c r="A2" s="7" t="str">
        <x:v>Campos, tipos y descripciones de los archivos tabulares que sostienen el visor y la auditoría científica.</x:v>
      </x:c>
      <x:c r="B2" s="7" t="str">
        <x:v>Campos, tipos y descripciones de los archivos tabulares que sostienen el visor y la auditoría científica.</x:v>
      </x:c>
      <x:c r="C2" s="7" t="str">
        <x:v>Campos, tipos y descripciones de los archivos tabulares que sostienen el visor y la auditoría científica.</x:v>
      </x:c>
      <x:c r="D2" s="7" t="str">
        <x:v>Campos, tipos y descripciones de los archivos tabulares que sostienen el visor y la auditoría científica.</x:v>
      </x:c>
    </x:row>
    <x:row r="3" ht="15" hidden="0" customHeight="1">
      <x:c r="A3" s="8"/>
      <x:c r="B3" s="8"/>
      <x:c r="C3" s="8"/>
      <x:c r="D3" s="8"/>
    </x:row>
    <x:row r="4"/>
    <x:row r="5" ht="15" hidden="0" customHeight="1">
      <x:c r="A5" s="14" t="str">
        <x:v>file</x:v>
      </x:c>
      <x:c r="B5" s="14" t="str">
        <x:v>field</x:v>
      </x:c>
      <x:c r="C5" s="14" t="str">
        <x:v>dtype</x:v>
      </x:c>
      <x:c r="D5" s="14" t="str">
        <x:v>description</x:v>
      </x:c>
    </x:row>
    <x:row r="6" ht="15" hidden="0" customHeight="1">
      <x:c r="A6" s="58" t="str">
        <x:v>categories_multilevel_2020_2025.csv</x:v>
      </x:c>
      <x:c r="B6" s="58" t="str">
        <x:v>year</x:v>
      </x:c>
      <x:c r="C6" s="58" t="str">
        <x:v>int64</x:v>
      </x:c>
      <x:c r="D6" s="58" t="str">
        <x:v>Calendar or analytical year.</x:v>
      </x:c>
    </x:row>
    <x:row r="7" ht="15" hidden="0" customHeight="1">
      <x:c r="A7" s="57" t="str">
        <x:v>categories_multilevel_2020_2025.csv</x:v>
      </x:c>
      <x:c r="B7" s="57" t="str">
        <x:v>category</x:v>
      </x:c>
      <x:c r="C7" s="57" t="str">
        <x:v>object</x:v>
      </x:c>
      <x:c r="D7" s="57" t="str">
        <x:v>Category.</x:v>
      </x:c>
    </x:row>
    <x:row r="8" ht="15" hidden="0" customHeight="1">
      <x:c r="A8" s="58" t="str">
        <x:v>categories_multilevel_2020_2025.csv</x:v>
      </x:c>
      <x:c r="B8" s="58" t="str">
        <x:v>category_full</x:v>
      </x:c>
      <x:c r="C8" s="58" t="str">
        <x:v>object</x:v>
      </x:c>
      <x:c r="D8" s="58" t="str">
        <x:v>Category full.</x:v>
      </x:c>
    </x:row>
    <x:row r="9" ht="15" hidden="0" customHeight="1">
      <x:c r="A9" s="57" t="str">
        <x:v>categories_multilevel_2020_2025.csv</x:v>
      </x:c>
      <x:c r="B9" s="57" t="str">
        <x:v>peru_score</x:v>
      </x:c>
      <x:c r="C9" s="57" t="str">
        <x:v>float64</x:v>
      </x:c>
      <x:c r="D9" s="57" t="str">
        <x:v>Peru score on the 0–10 Democracy Index scale; interpret with its data-status field.</x:v>
      </x:c>
    </x:row>
    <x:row r="10" ht="15" hidden="0" customHeight="1">
      <x:c r="A10" s="58" t="str">
        <x:v>categories_multilevel_2020_2025.csv</x:v>
      </x:c>
      <x:c r="B10" s="58" t="str">
        <x:v>latin_america_score</x:v>
      </x:c>
      <x:c r="C10" s="58" t="str">
        <x:v>float64</x:v>
      </x:c>
      <x:c r="D10" s="58" t="str">
        <x:v>Latin America and Caribbean aggregate on the 0–10 scale.</x:v>
      </x:c>
    </x:row>
    <x:row r="11" ht="15" hidden="0" customHeight="1">
      <x:c r="A11" s="57" t="str">
        <x:v>categories_multilevel_2020_2025.csv</x:v>
      </x:c>
      <x:c r="B11" s="57" t="str">
        <x:v>world_score</x:v>
      </x:c>
      <x:c r="C11" s="57" t="str">
        <x:v>float64</x:v>
      </x:c>
      <x:c r="D11" s="57" t="str">
        <x:v>World aggregate on the 0–10 scale.</x:v>
      </x:c>
    </x:row>
    <x:row r="12" ht="15" hidden="0" customHeight="1">
      <x:c r="A12" s="58" t="str">
        <x:v>categories_multilevel_2020_2025.csv</x:v>
      </x:c>
      <x:c r="B12" s="58" t="str">
        <x:v>peru_minus_latam</x:v>
      </x:c>
      <x:c r="C12" s="58" t="str">
        <x:v>float64</x:v>
      </x:c>
      <x:c r="D12" s="58" t="str">
        <x:v>Arithmetic score difference between the named geographies.</x:v>
      </x:c>
    </x:row>
    <x:row r="13" ht="15" hidden="0" customHeight="1">
      <x:c r="A13" s="57" t="str">
        <x:v>categories_multilevel_2020_2025.csv</x:v>
      </x:c>
      <x:c r="B13" s="57" t="str">
        <x:v>peru_minus_world</x:v>
      </x:c>
      <x:c r="C13" s="57" t="str">
        <x:v>float64</x:v>
      </x:c>
      <x:c r="D13" s="57" t="str">
        <x:v>Arithmetic score difference between the named geographies.</x:v>
      </x:c>
    </x:row>
    <x:row r="14" ht="15" hidden="0" customHeight="1">
      <x:c r="A14" s="58" t="str">
        <x:v>categories_multilevel_2020_2025.csv</x:v>
      </x:c>
      <x:c r="B14" s="58" t="str">
        <x:v>latam_minus_world</x:v>
      </x:c>
      <x:c r="C14" s="58" t="str">
        <x:v>float64</x:v>
      </x:c>
      <x:c r="D14" s="58" t="str">
        <x:v>Arithmetic score difference between the named geographies.</x:v>
      </x:c>
    </x:row>
    <x:row r="15" ht="15" hidden="0" customHeight="1">
      <x:c r="A15" s="57" t="str">
        <x:v>categories_multilevel_2020_2025.csv</x:v>
      </x:c>
      <x:c r="B15" s="57" t="str">
        <x:v>source_peru</x:v>
      </x:c>
      <x:c r="C15" s="57" t="str">
        <x:v>object</x:v>
      </x:c>
      <x:c r="D15" s="57" t="str">
        <x:v>Bibliographic source and location for the corresponding value.</x:v>
      </x:c>
    </x:row>
    <x:row r="16" ht="15" hidden="0" customHeight="1">
      <x:c r="A16" s="58" t="str">
        <x:v>categories_multilevel_2020_2025.csv</x:v>
      </x:c>
      <x:c r="B16" s="58" t="str">
        <x:v>source_latam</x:v>
      </x:c>
      <x:c r="C16" s="58" t="str">
        <x:v>object</x:v>
      </x:c>
      <x:c r="D16" s="58" t="str">
        <x:v>Bibliographic source and location for the corresponding value.</x:v>
      </x:c>
    </x:row>
    <x:row r="17" ht="15" hidden="0" customHeight="1">
      <x:c r="A17" s="57" t="str">
        <x:v>categories_multilevel_2020_2025.csv</x:v>
      </x:c>
      <x:c r="B17" s="57" t="str">
        <x:v>source_world</x:v>
      </x:c>
      <x:c r="C17" s="57" t="str">
        <x:v>object</x:v>
      </x:c>
      <x:c r="D17" s="57" t="str">
        <x:v>Bibliographic source and location for the corresponding value.</x:v>
      </x:c>
    </x:row>
    <x:row r="18" ht="15" hidden="0" customHeight="1">
      <x:c r="A18" s="58" t="str">
        <x:v>categories_multilevel_2020_2025.csv</x:v>
      </x:c>
      <x:c r="B18" s="58" t="str">
        <x:v>data_status_peru</x:v>
      </x:c>
      <x:c r="C18" s="58" t="str">
        <x:v>object</x:v>
      </x:c>
      <x:c r="D18" s="58" t="str">
        <x:v>Epistemic status of the Peru value.</x:v>
      </x:c>
    </x:row>
    <x:row r="19" ht="15" hidden="0" customHeight="1">
      <x:c r="A19" s="57" t="str">
        <x:v>categories_multilevel_2020_2025.csv</x:v>
      </x:c>
      <x:c r="B19" s="57" t="str">
        <x:v>data_status_latam</x:v>
      </x:c>
      <x:c r="C19" s="57" t="str">
        <x:v>object</x:v>
      </x:c>
      <x:c r="D19" s="57" t="str">
        <x:v>Epistemic status of the Latin America value.</x:v>
      </x:c>
    </x:row>
    <x:row r="20" ht="15" hidden="0" customHeight="1">
      <x:c r="A20" s="58" t="str">
        <x:v>categories_multilevel_2020_2025.csv</x:v>
      </x:c>
      <x:c r="B20" s="58" t="str">
        <x:v>data_status_world</x:v>
      </x:c>
      <x:c r="C20" s="58" t="str">
        <x:v>object</x:v>
      </x:c>
      <x:c r="D20" s="58" t="str">
        <x:v>Epistemic status of the world value.</x:v>
      </x:c>
    </x:row>
    <x:row r="21" ht="15" hidden="0" customHeight="1">
      <x:c r="A21" s="57" t="str">
        <x:v>data_status_registry.csv</x:v>
      </x:c>
      <x:c r="B21" s="57" t="str">
        <x:v>status_id</x:v>
      </x:c>
      <x:c r="C21" s="57" t="str">
        <x:v>object</x:v>
      </x:c>
      <x:c r="D21" s="57" t="str">
        <x:v>Stable controlled-vocabulary identifier.</x:v>
      </x:c>
    </x:row>
    <x:row r="22" ht="15" hidden="0" customHeight="1">
      <x:c r="A22" s="58" t="str">
        <x:v>data_status_registry.csv</x:v>
      </x:c>
      <x:c r="B22" s="58" t="str">
        <x:v>label_es</x:v>
      </x:c>
      <x:c r="C22" s="58" t="str">
        <x:v>object</x:v>
      </x:c>
      <x:c r="D22" s="58" t="str">
        <x:v>Label es.</x:v>
      </x:c>
    </x:row>
    <x:row r="23" ht="15" hidden="0" customHeight="1">
      <x:c r="A23" s="57" t="str">
        <x:v>data_status_registry.csv</x:v>
      </x:c>
      <x:c r="B23" s="57" t="str">
        <x:v>definition</x:v>
      </x:c>
      <x:c r="C23" s="57" t="str">
        <x:v>object</x:v>
      </x:c>
      <x:c r="D23" s="57" t="str">
        <x:v>Definition of the controlled data status.</x:v>
      </x:c>
    </x:row>
    <x:row r="24" ht="15" hidden="0" customHeight="1">
      <x:c r="A24" s="58" t="str">
        <x:v>data_status_registry.csv</x:v>
      </x:c>
      <x:c r="B24" s="58" t="str">
        <x:v>allowed_use</x:v>
      </x:c>
      <x:c r="C24" s="58" t="str">
        <x:v>object</x:v>
      </x:c>
      <x:c r="D24" s="58" t="str">
        <x:v>Permitted interpretation and citation use.</x:v>
      </x:c>
    </x:row>
    <x:row r="25" ht="15" hidden="0" customHeight="1">
      <x:c r="A25" s="57" t="str">
        <x:v>model_formulas_v2.csv</x:v>
      </x:c>
      <x:c r="B25" s="57" t="str">
        <x:v>formula_id</x:v>
      </x:c>
      <x:c r="C25" s="57" t="str">
        <x:v>object</x:v>
      </x:c>
      <x:c r="D25" s="57" t="str">
        <x:v>Stable formula identifier.</x:v>
      </x:c>
    </x:row>
    <x:row r="26" ht="15" hidden="0" customHeight="1">
      <x:c r="A26" s="58" t="str">
        <x:v>model_formulas_v2.csv</x:v>
      </x:c>
      <x:c r="B26" s="58" t="str">
        <x:v>component</x:v>
      </x:c>
      <x:c r="C26" s="58" t="str">
        <x:v>object</x:v>
      </x:c>
      <x:c r="D26" s="58" t="str">
        <x:v>Component.</x:v>
      </x:c>
    </x:row>
    <x:row r="27" ht="15" hidden="0" customHeight="1">
      <x:c r="A27" s="57" t="str">
        <x:v>model_formulas_v2.csv</x:v>
      </x:c>
      <x:c r="B27" s="57" t="str">
        <x:v>formula</x:v>
      </x:c>
      <x:c r="C27" s="57" t="str">
        <x:v>object</x:v>
      </x:c>
      <x:c r="D27" s="57" t="str">
        <x:v>Human-readable model formula.</x:v>
      </x:c>
    </x:row>
    <x:row r="28" ht="15" hidden="0" customHeight="1">
      <x:c r="A28" s="58" t="str">
        <x:v>model_formulas_v2.csv</x:v>
      </x:c>
      <x:c r="B28" s="58" t="str">
        <x:v>interpretation</x:v>
      </x:c>
      <x:c r="C28" s="58" t="str">
        <x:v>object</x:v>
      </x:c>
      <x:c r="D28" s="58" t="str">
        <x:v>Mandatory interpretive limitation for the value or distribution.</x:v>
      </x:c>
    </x:row>
    <x:row r="29" ht="15" hidden="0" customHeight="1">
      <x:c r="A29" s="57" t="str">
        <x:v>overall_multilevel_2020_2025.csv</x:v>
      </x:c>
      <x:c r="B29" s="57" t="str">
        <x:v>year</x:v>
      </x:c>
      <x:c r="C29" s="57" t="str">
        <x:v>int64</x:v>
      </x:c>
      <x:c r="D29" s="57" t="str">
        <x:v>Calendar or analytical year.</x:v>
      </x:c>
    </x:row>
    <x:row r="30" ht="15" hidden="0" customHeight="1">
      <x:c r="A30" s="58" t="str">
        <x:v>overall_multilevel_2020_2025.csv</x:v>
      </x:c>
      <x:c r="B30" s="58" t="str">
        <x:v>peru_score</x:v>
      </x:c>
      <x:c r="C30" s="58" t="str">
        <x:v>float64</x:v>
      </x:c>
      <x:c r="D30" s="58" t="str">
        <x:v>Peru score on the 0–10 Democracy Index scale; interpret with its data-status field.</x:v>
      </x:c>
    </x:row>
    <x:row r="31" ht="15" hidden="0" customHeight="1">
      <x:c r="A31" s="57" t="str">
        <x:v>overall_multilevel_2020_2025.csv</x:v>
      </x:c>
      <x:c r="B31" s="57" t="str">
        <x:v>latin_america_score</x:v>
      </x:c>
      <x:c r="C31" s="57" t="str">
        <x:v>float64</x:v>
      </x:c>
      <x:c r="D31" s="57" t="str">
        <x:v>Latin America and Caribbean aggregate on the 0–10 scale.</x:v>
      </x:c>
    </x:row>
    <x:row r="32" ht="15" hidden="0" customHeight="1">
      <x:c r="A32" s="58" t="str">
        <x:v>overall_multilevel_2020_2025.csv</x:v>
      </x:c>
      <x:c r="B32" s="58" t="str">
        <x:v>world_score</x:v>
      </x:c>
      <x:c r="C32" s="58" t="str">
        <x:v>float64</x:v>
      </x:c>
      <x:c r="D32" s="58" t="str">
        <x:v>World aggregate on the 0–10 scale.</x:v>
      </x:c>
    </x:row>
    <x:row r="33" ht="15" hidden="0" customHeight="1">
      <x:c r="A33" s="57" t="str">
        <x:v>overall_multilevel_2020_2025.csv</x:v>
      </x:c>
      <x:c r="B33" s="57" t="str">
        <x:v>peru_regime_type</x:v>
      </x:c>
      <x:c r="C33" s="57" t="str">
        <x:v>object</x:v>
      </x:c>
      <x:c r="D33" s="57" t="str">
        <x:v>Peru regime type.</x:v>
      </x:c>
    </x:row>
    <x:row r="34" ht="15" hidden="0" customHeight="1">
      <x:c r="A34" s="58" t="str">
        <x:v>overall_multilevel_2020_2025.csv</x:v>
      </x:c>
      <x:c r="B34" s="58" t="str">
        <x:v>peru_minus_latam</x:v>
      </x:c>
      <x:c r="C34" s="58" t="str">
        <x:v>float64</x:v>
      </x:c>
      <x:c r="D34" s="58" t="str">
        <x:v>Arithmetic score difference between the named geographies.</x:v>
      </x:c>
    </x:row>
    <x:row r="35" ht="15" hidden="0" customHeight="1">
      <x:c r="A35" s="57" t="str">
        <x:v>overall_multilevel_2020_2025.csv</x:v>
      </x:c>
      <x:c r="B35" s="57" t="str">
        <x:v>peru_minus_world</x:v>
      </x:c>
      <x:c r="C35" s="57" t="str">
        <x:v>float64</x:v>
      </x:c>
      <x:c r="D35" s="57" t="str">
        <x:v>Arithmetic score difference between the named geographies.</x:v>
      </x:c>
    </x:row>
    <x:row r="36" ht="15" hidden="0" customHeight="1">
      <x:c r="A36" s="58" t="str">
        <x:v>overall_multilevel_2020_2025.csv</x:v>
      </x:c>
      <x:c r="B36" s="58" t="str">
        <x:v>latam_minus_world</x:v>
      </x:c>
      <x:c r="C36" s="58" t="str">
        <x:v>float64</x:v>
      </x:c>
      <x:c r="D36" s="58" t="str">
        <x:v>Arithmetic score difference between the named geographies.</x:v>
      </x:c>
    </x:row>
    <x:row r="37" ht="15" hidden="0" customHeight="1">
      <x:c r="A37" s="57" t="str">
        <x:v>overall_multilevel_2020_2025.csv</x:v>
      </x:c>
      <x:c r="B37" s="57" t="str">
        <x:v>peru_pct_change_vs_2020</x:v>
      </x:c>
      <x:c r="C37" s="57" t="str">
        <x:v>float64</x:v>
      </x:c>
      <x:c r="D37" s="57" t="str">
        <x:v>Percentage change relative to the 2020 baseline.</x:v>
      </x:c>
    </x:row>
    <x:row r="38" ht="15" hidden="0" customHeight="1">
      <x:c r="A38" s="58" t="str">
        <x:v>overall_multilevel_2020_2025.csv</x:v>
      </x:c>
      <x:c r="B38" s="58" t="str">
        <x:v>latin_america_pct_change_vs_2020</x:v>
      </x:c>
      <x:c r="C38" s="58" t="str">
        <x:v>float64</x:v>
      </x:c>
      <x:c r="D38" s="58" t="str">
        <x:v>Percentage change relative to the 2020 baseline.</x:v>
      </x:c>
    </x:row>
    <x:row r="39" ht="15" hidden="0" customHeight="1">
      <x:c r="A39" s="57" t="str">
        <x:v>overall_multilevel_2020_2025.csv</x:v>
      </x:c>
      <x:c r="B39" s="57" t="str">
        <x:v>world_pct_change_vs_2020</x:v>
      </x:c>
      <x:c r="C39" s="57" t="str">
        <x:v>float64</x:v>
      </x:c>
      <x:c r="D39" s="57" t="str">
        <x:v>Percentage change relative to the 2020 baseline.</x:v>
      </x:c>
    </x:row>
    <x:row r="40" ht="15" hidden="0" customHeight="1">
      <x:c r="A40" s="58" t="str">
        <x:v>overall_multilevel_2020_2025.csv</x:v>
      </x:c>
      <x:c r="B40" s="58" t="str">
        <x:v>source_peru</x:v>
      </x:c>
      <x:c r="C40" s="58" t="str">
        <x:v>object</x:v>
      </x:c>
      <x:c r="D40" s="58" t="str">
        <x:v>Bibliographic source and location for the corresponding value.</x:v>
      </x:c>
    </x:row>
    <x:row r="41" ht="15" hidden="0" customHeight="1">
      <x:c r="A41" s="57" t="str">
        <x:v>overall_multilevel_2020_2025.csv</x:v>
      </x:c>
      <x:c r="B41" s="57" t="str">
        <x:v>source_latam</x:v>
      </x:c>
      <x:c r="C41" s="57" t="str">
        <x:v>object</x:v>
      </x:c>
      <x:c r="D41" s="57" t="str">
        <x:v>Bibliographic source and location for the corresponding value.</x:v>
      </x:c>
    </x:row>
    <x:row r="42" ht="15" hidden="0" customHeight="1">
      <x:c r="A42" s="58" t="str">
        <x:v>overall_multilevel_2020_2025.csv</x:v>
      </x:c>
      <x:c r="B42" s="58" t="str">
        <x:v>source_world</x:v>
      </x:c>
      <x:c r="C42" s="58" t="str">
        <x:v>object</x:v>
      </x:c>
      <x:c r="D42" s="58" t="str">
        <x:v>Bibliographic source and location for the corresponding value.</x:v>
      </x:c>
    </x:row>
    <x:row r="43" ht="15" hidden="0" customHeight="1">
      <x:c r="A43" s="57" t="str">
        <x:v>overall_multilevel_2020_2025.csv</x:v>
      </x:c>
      <x:c r="B43" s="57" t="str">
        <x:v>peru_rank</x:v>
      </x:c>
      <x:c r="C43" s="57" t="str">
        <x:v>float64</x:v>
      </x:c>
      <x:c r="D43" s="57" t="str">
        <x:v>Peru rank.</x:v>
      </x:c>
    </x:row>
    <x:row r="44" ht="15" hidden="0" customHeight="1">
      <x:c r="A44" s="58" t="str">
        <x:v>overall_multilevel_2020_2025.csv</x:v>
      </x:c>
      <x:c r="B44" s="58" t="str">
        <x:v>data_status_peru</x:v>
      </x:c>
      <x:c r="C44" s="58" t="str">
        <x:v>object</x:v>
      </x:c>
      <x:c r="D44" s="58" t="str">
        <x:v>Epistemic status of the Peru value.</x:v>
      </x:c>
    </x:row>
    <x:row r="45" ht="15" hidden="0" customHeight="1">
      <x:c r="A45" s="57" t="str">
        <x:v>parameter_elicitation_matrix.csv</x:v>
      </x:c>
      <x:c r="B45" s="57" t="str">
        <x:v>scenario_id</x:v>
      </x:c>
      <x:c r="C45" s="57" t="str">
        <x:v>object</x:v>
      </x:c>
      <x:c r="D45" s="57" t="str">
        <x:v>Stable machine-readable scenario identifier.</x:v>
      </x:c>
    </x:row>
    <x:row r="46" ht="15" hidden="0" customHeight="1">
      <x:c r="A46" s="58" t="str">
        <x:v>parameter_elicitation_matrix.csv</x:v>
      </x:c>
      <x:c r="B46" s="58" t="str">
        <x:v>scenario_name</x:v>
      </x:c>
      <x:c r="C46" s="58" t="str">
        <x:v>object</x:v>
      </x:c>
      <x:c r="D46" s="58" t="str">
        <x:v>Human-readable scenario name.</x:v>
      </x:c>
    </x:row>
    <x:row r="47" ht="15" hidden="0" customHeight="1">
      <x:c r="A47" s="57" t="str">
        <x:v>parameter_elicitation_matrix.csv</x:v>
      </x:c>
      <x:c r="B47" s="57" t="str">
        <x:v>category_full</x:v>
      </x:c>
      <x:c r="C47" s="57" t="str">
        <x:v>object</x:v>
      </x:c>
      <x:c r="D47" s="57" t="str">
        <x:v>Category full.</x:v>
      </x:c>
    </x:row>
    <x:row r="48" ht="15" hidden="0" customHeight="1">
      <x:c r="A48" s="58" t="str">
        <x:v>parameter_elicitation_matrix.csv</x:v>
      </x:c>
      <x:c r="B48" s="58" t="str">
        <x:v>category_es</x:v>
      </x:c>
      <x:c r="C48" s="58" t="str">
        <x:v>object</x:v>
      </x:c>
      <x:c r="D48" s="58" t="str">
        <x:v>Category es.</x:v>
      </x:c>
    </x:row>
    <x:row r="49" ht="15" hidden="0" customHeight="1">
      <x:c r="A49" s="57" t="str">
        <x:v>parameter_elicitation_matrix.csv</x:v>
      </x:c>
      <x:c r="B49" s="57" t="str">
        <x:v>parameter</x:v>
      </x:c>
      <x:c r="C49" s="57" t="str">
        <x:v>object</x:v>
      </x:c>
      <x:c r="D49" s="57" t="str">
        <x:v>Parameter.</x:v>
      </x:c>
    </x:row>
    <x:row r="50" ht="15" hidden="0" customHeight="1">
      <x:c r="A50" s="58" t="str">
        <x:v>parameter_elicitation_matrix.csv</x:v>
      </x:c>
      <x:c r="B50" s="58" t="str">
        <x:v>central</x:v>
      </x:c>
      <x:c r="C50" s="58" t="str">
        <x:v>float64</x:v>
      </x:c>
      <x:c r="D50" s="58" t="str">
        <x:v>Central structured analytical judgement for the parameter.</x:v>
      </x:c>
    </x:row>
    <x:row r="51" ht="15" hidden="0" customHeight="1">
      <x:c r="A51" s="57" t="str">
        <x:v>parameter_elicitation_matrix.csv</x:v>
      </x:c>
      <x:c r="B51" s="57" t="str">
        <x:v>plausible_low</x:v>
      </x:c>
      <x:c r="C51" s="57" t="str">
        <x:v>float64</x:v>
      </x:c>
      <x:c r="D51" s="57" t="str">
        <x:v>Lower plausible bound used by the triangular parameter distribution.</x:v>
      </x:c>
    </x:row>
    <x:row r="52" ht="15" hidden="0" customHeight="1">
      <x:c r="A52" s="58" t="str">
        <x:v>parameter_elicitation_matrix.csv</x:v>
      </x:c>
      <x:c r="B52" s="58" t="str">
        <x:v>plausible_high</x:v>
      </x:c>
      <x:c r="C52" s="58" t="str">
        <x:v>float64</x:v>
      </x:c>
      <x:c r="D52" s="58" t="str">
        <x:v>Upper plausible bound used by the triangular parameter distribution.</x:v>
      </x:c>
    </x:row>
    <x:row r="53" ht="15" hidden="0" customHeight="1">
      <x:c r="A53" s="57" t="str">
        <x:v>parameter_elicitation_matrix.csv</x:v>
      </x:c>
      <x:c r="B53" s="57" t="str">
        <x:v>evidence_basis</x:v>
      </x:c>
      <x:c r="C53" s="57" t="str">
        <x:v>object</x:v>
      </x:c>
      <x:c r="D53" s="57" t="str">
        <x:v>Semicolon-separated evidence identifiers supporting the judgement.</x:v>
      </x:c>
    </x:row>
    <x:row r="54" ht="15" hidden="0" customHeight="1">
      <x:c r="A54" s="58" t="str">
        <x:v>parameter_elicitation_matrix.csv</x:v>
      </x:c>
      <x:c r="B54" s="58" t="str">
        <x:v>signal</x:v>
      </x:c>
      <x:c r="C54" s="58" t="str">
        <x:v>object</x:v>
      </x:c>
      <x:c r="D54" s="58" t="str">
        <x:v>Signal.</x:v>
      </x:c>
    </x:row>
    <x:row r="55" ht="15" hidden="0" customHeight="1">
      <x:c r="A55" s="57" t="str">
        <x:v>parameter_elicitation_matrix.csv</x:v>
      </x:c>
      <x:c r="B55" s="57" t="str">
        <x:v>translation_rule</x:v>
      </x:c>
      <x:c r="C55" s="57" t="str">
        <x:v>object</x:v>
      </x:c>
      <x:c r="D55" s="57" t="str">
        <x:v>Explicit rule translating qualitative evidence into a bounded parameter judgement.</x:v>
      </x:c>
    </x:row>
    <x:row r="56" ht="15" hidden="0" customHeight="1">
      <x:c r="A56" s="58" t="str">
        <x:v>parameter_elicitation_matrix.csv</x:v>
      </x:c>
      <x:c r="B56" s="58" t="str">
        <x:v>decision_author</x:v>
      </x:c>
      <x:c r="C56" s="58" t="str">
        <x:v>object</x:v>
      </x:c>
      <x:c r="D56" s="58" t="str">
        <x:v>Person responsible for the documented analytical judgement.</x:v>
      </x:c>
    </x:row>
    <x:row r="57" ht="15" hidden="0" customHeight="1">
      <x:c r="A57" s="57" t="str">
        <x:v>parameter_elicitation_matrix.csv</x:v>
      </x:c>
      <x:c r="B57" s="57" t="str">
        <x:v>decision_date</x:v>
      </x:c>
      <x:c r="C57" s="57" t="str">
        <x:v>object</x:v>
      </x:c>
      <x:c r="D57" s="57" t="str">
        <x:v>ISO date of the analytical judgement.</x:v>
      </x:c>
    </x:row>
    <x:row r="58" ht="15" hidden="0" customHeight="1">
      <x:c r="A58" s="58" t="str">
        <x:v>parameter_elicitation_matrix.csv</x:v>
      </x:c>
      <x:c r="B58" s="58" t="str">
        <x:v>parameter_status</x:v>
      </x:c>
      <x:c r="C58" s="58" t="str">
        <x:v>object</x:v>
      </x:c>
      <x:c r="D58" s="58" t="str">
        <x:v>Epistemic classification of the parameter.</x:v>
      </x:c>
    </x:row>
    <x:row r="59" ht="15" hidden="0" customHeight="1">
      <x:c r="A59" s="57" t="str">
        <x:v>peru_2025_anchor_ensemble.csv</x:v>
      </x:c>
      <x:c r="B59" s="57" t="str">
        <x:v>sample_id</x:v>
      </x:c>
      <x:c r="C59" s="57" t="str">
        <x:v>int64</x:v>
      </x:c>
      <x:c r="D59" s="57" t="str">
        <x:v>Deterministic simulation-row identifier.</x:v>
      </x:c>
    </x:row>
    <x:row r="60" ht="15" hidden="0" customHeight="1">
      <x:c r="A60" s="58" t="str">
        <x:v>peru_2025_anchor_ensemble.csv</x:v>
      </x:c>
      <x:c r="B60" s="58" t="str">
        <x:v>Proceso electoral y pluralismo</x:v>
      </x:c>
      <x:c r="C60" s="58" t="str">
        <x:v>float64</x:v>
      </x:c>
      <x:c r="D60" s="58" t="str">
        <x:v>Dimensional score on the 0–10 scale; interpret with data_status.</x:v>
      </x:c>
    </x:row>
    <x:row r="61" ht="15" hidden="0" customHeight="1">
      <x:c r="A61" s="57" t="str">
        <x:v>peru_2025_anchor_ensemble.csv</x:v>
      </x:c>
      <x:c r="B61" s="57" t="str">
        <x:v>Funcionamiento del gobierno</x:v>
      </x:c>
      <x:c r="C61" s="57" t="str">
        <x:v>float64</x:v>
      </x:c>
      <x:c r="D61" s="57" t="str">
        <x:v>Dimensional score on the 0–10 scale; interpret with data_status.</x:v>
      </x:c>
    </x:row>
    <x:row r="62" ht="15" hidden="0" customHeight="1">
      <x:c r="A62" s="58" t="str">
        <x:v>peru_2025_anchor_ensemble.csv</x:v>
      </x:c>
      <x:c r="B62" s="58" t="str">
        <x:v>Participación política</x:v>
      </x:c>
      <x:c r="C62" s="58" t="str">
        <x:v>float64</x:v>
      </x:c>
      <x:c r="D62" s="58" t="str">
        <x:v>Dimensional score on the 0–10 scale; interpret with data_status.</x:v>
      </x:c>
    </x:row>
    <x:row r="63" ht="15" hidden="0" customHeight="1">
      <x:c r="A63" s="57" t="str">
        <x:v>peru_2025_anchor_ensemble.csv</x:v>
      </x:c>
      <x:c r="B63" s="57" t="str">
        <x:v>Cultura política</x:v>
      </x:c>
      <x:c r="C63" s="57" t="str">
        <x:v>float64</x:v>
      </x:c>
      <x:c r="D63" s="57" t="str">
        <x:v>Dimensional score on the 0–10 scale; interpret with data_status.</x:v>
      </x:c>
    </x:row>
    <x:row r="64" ht="15" hidden="0" customHeight="1">
      <x:c r="A64" s="58" t="str">
        <x:v>peru_2025_anchor_ensemble.csv</x:v>
      </x:c>
      <x:c r="B64" s="58" t="str">
        <x:v>Libertades civiles</x:v>
      </x:c>
      <x:c r="C64" s="58" t="str">
        <x:v>float64</x:v>
      </x:c>
      <x:c r="D64" s="58" t="str">
        <x:v>Dimensional score on the 0–10 scale; interpret with data_status.</x:v>
      </x:c>
    </x:row>
    <x:row r="65" ht="15" hidden="0" customHeight="1">
      <x:c r="A65" s="57" t="str">
        <x:v>peru_2025_anchor_ensemble.csv</x:v>
      </x:c>
      <x:c r="B65" s="57" t="str">
        <x:v>overall_score</x:v>
      </x:c>
      <x:c r="C65" s="57" t="str">
        <x:v>float64</x:v>
      </x:c>
      <x:c r="D65" s="57" t="str">
        <x:v>Arithmetic mean of the five dimensional values on the 0–10 scale.</x:v>
      </x:c>
    </x:row>
    <x:row r="66" ht="15" hidden="0" customHeight="1">
      <x:c r="A66" s="58" t="str">
        <x:v>peru_2025_anchor_ensemble.csv</x:v>
      </x:c>
      <x:c r="B66" s="58" t="str">
        <x:v>data_status</x:v>
      </x:c>
      <x:c r="C66" s="58" t="str">
        <x:v>object</x:v>
      </x:c>
      <x:c r="D66" s="58" t="str">
        <x:v>Controlled epistemic-status identifier from data_status_registry.csv.</x:v>
      </x:c>
    </x:row>
    <x:row r="67" ht="15" hidden="0" customHeight="1">
      <x:c r="A67" s="57" t="str">
        <x:v>peru_2025_anchor_summary.csv</x:v>
      </x:c>
      <x:c r="B67" s="57" t="str">
        <x:v>category_full</x:v>
      </x:c>
      <x:c r="C67" s="57" t="str">
        <x:v>object</x:v>
      </x:c>
      <x:c r="D67" s="57" t="str">
        <x:v>Category full.</x:v>
      </x:c>
    </x:row>
    <x:row r="68" ht="15" hidden="0" customHeight="1">
      <x:c r="A68" s="58" t="str">
        <x:v>peru_2025_anchor_summary.csv</x:v>
      </x:c>
      <x:c r="B68" s="58" t="str">
        <x:v>category_es</x:v>
      </x:c>
      <x:c r="C68" s="58" t="str">
        <x:v>object</x:v>
      </x:c>
      <x:c r="D68" s="58" t="str">
        <x:v>Category es.</x:v>
      </x:c>
    </x:row>
    <x:row r="69" ht="15" hidden="0" customHeight="1">
      <x:c r="A69" s="57" t="str">
        <x:v>peru_2025_anchor_summary.csv</x:v>
      </x:c>
      <x:c r="B69" s="57" t="str">
        <x:v>peru_2024_official_source_observed</x:v>
      </x:c>
      <x:c r="C69" s="57" t="str">
        <x:v>float64</x:v>
      </x:c>
      <x:c r="D69" s="57" t="str">
        <x:v>Peru 2024 official source observed.</x:v>
      </x:c>
    </x:row>
    <x:row r="70" ht="15" hidden="0" customHeight="1">
      <x:c r="A70" s="58" t="str">
        <x:v>peru_2025_anchor_summary.csv</x:v>
      </x:c>
      <x:c r="B70" s="58" t="str">
        <x:v>central_anchor_2025</x:v>
      </x:c>
      <x:c r="C70" s="58" t="str">
        <x:v>float64</x:v>
      </x:c>
      <x:c r="D70" s="58" t="str">
        <x:v>Central anchor 2025.</x:v>
      </x:c>
    </x:row>
    <x:row r="71" ht="15" hidden="0" customHeight="1">
      <x:c r="A71" s="57" t="str">
        <x:v>peru_2025_anchor_summary.csv</x:v>
      </x:c>
      <x:c r="B71" s="57" t="str">
        <x:v>anchor_sigma</x:v>
      </x:c>
      <x:c r="C71" s="57" t="str">
        <x:v>float64</x:v>
      </x:c>
      <x:c r="D71" s="57" t="str">
        <x:v>Anchor sigma.</x:v>
      </x:c>
    </x:row>
    <x:row r="72" ht="15" hidden="0" customHeight="1">
      <x:c r="A72" s="58" t="str">
        <x:v>peru_2025_anchor_summary.csv</x:v>
      </x:c>
      <x:c r="B72" s="58" t="str">
        <x:v>admissible_low</x:v>
      </x:c>
      <x:c r="C72" s="58" t="str">
        <x:v>float64</x:v>
      </x:c>
      <x:c r="D72" s="58" t="str">
        <x:v>Admissible low.</x:v>
      </x:c>
    </x:row>
    <x:row r="73" ht="15" hidden="0" customHeight="1">
      <x:c r="A73" s="57" t="str">
        <x:v>peru_2025_anchor_summary.csv</x:v>
      </x:c>
      <x:c r="B73" s="57" t="str">
        <x:v>p10</x:v>
      </x:c>
      <x:c r="C73" s="57" t="str">
        <x:v>float64</x:v>
      </x:c>
      <x:c r="D73" s="57" t="str">
        <x:v>10th percentile of the stated sensitivity distribution.</x:v>
      </x:c>
    </x:row>
    <x:row r="74" ht="15" hidden="0" customHeight="1">
      <x:c r="A74" s="58" t="str">
        <x:v>peru_2025_anchor_summary.csv</x:v>
      </x:c>
      <x:c r="B74" s="58" t="str">
        <x:v>p50</x:v>
      </x:c>
      <x:c r="C74" s="58" t="str">
        <x:v>float64</x:v>
      </x:c>
      <x:c r="D74" s="58" t="str">
        <x:v>Median of the stated sensitivity distribution.</x:v>
      </x:c>
    </x:row>
    <x:row r="75" ht="15" hidden="0" customHeight="1">
      <x:c r="A75" s="57" t="str">
        <x:v>peru_2025_anchor_summary.csv</x:v>
      </x:c>
      <x:c r="B75" s="57" t="str">
        <x:v>p90</x:v>
      </x:c>
      <x:c r="C75" s="57" t="str">
        <x:v>float64</x:v>
      </x:c>
      <x:c r="D75" s="57" t="str">
        <x:v>90th percentile of the stated sensitivity distribution.</x:v>
      </x:c>
    </x:row>
    <x:row r="76" ht="15" hidden="0" customHeight="1">
      <x:c r="A76" s="58" t="str">
        <x:v>peru_2025_anchor_summary.csv</x:v>
      </x:c>
      <x:c r="B76" s="58" t="str">
        <x:v>admissible_high</x:v>
      </x:c>
      <x:c r="C76" s="58" t="str">
        <x:v>float64</x:v>
      </x:c>
      <x:c r="D76" s="58" t="str">
        <x:v>Admissible high.</x:v>
      </x:c>
    </x:row>
    <x:row r="77" ht="15" hidden="0" customHeight="1">
      <x:c r="A77" s="57" t="str">
        <x:v>peru_2025_anchor_summary.csv</x:v>
      </x:c>
      <x:c r="B77" s="57" t="str">
        <x:v>overall_constraint</x:v>
      </x:c>
      <x:c r="C77" s="57" t="str">
        <x:v>float64</x:v>
      </x:c>
      <x:c r="D77" s="57" t="str">
        <x:v>Fixed 2025 aggregate that every latent dimensional vector must preserve.</x:v>
      </x:c>
    </x:row>
    <x:row r="78" ht="15" hidden="0" customHeight="1">
      <x:c r="A78" s="58" t="str">
        <x:v>peru_2025_anchor_summary.csv</x:v>
      </x:c>
      <x:c r="B78" s="58" t="str">
        <x:v>data_status</x:v>
      </x:c>
      <x:c r="C78" s="58" t="str">
        <x:v>object</x:v>
      </x:c>
      <x:c r="D78" s="58" t="str">
        <x:v>Controlled epistemic-status identifier from data_status_registry.csv.</x:v>
      </x:c>
    </x:row>
    <x:row r="79" ht="15" hidden="0" customHeight="1">
      <x:c r="A79" s="57" t="str">
        <x:v>peru_2025_anchor_summary.csv</x:v>
      </x:c>
      <x:c r="B79" s="57" t="str">
        <x:v>interpretation</x:v>
      </x:c>
      <x:c r="C79" s="57" t="str">
        <x:v>object</x:v>
      </x:c>
      <x:c r="D79" s="57" t="str">
        <x:v>Mandatory interpretive limitation for the value or distribution.</x:v>
      </x:c>
    </x:row>
    <x:row r="80" ht="15" hidden="0" customHeight="1">
      <x:c r="A80" s="58" t="str">
        <x:v>peru_2025_category_calibration_audit.csv</x:v>
      </x:c>
      <x:c r="B80" s="58" t="str">
        <x:v>category_full</x:v>
      </x:c>
      <x:c r="C80" s="58" t="str">
        <x:v>object</x:v>
      </x:c>
      <x:c r="D80" s="58" t="str">
        <x:v>Category full.</x:v>
      </x:c>
    </x:row>
    <x:row r="81" ht="15" hidden="0" customHeight="1">
      <x:c r="A81" s="57" t="str">
        <x:v>peru_2025_category_calibration_audit.csv</x:v>
      </x:c>
      <x:c r="B81" s="57" t="str">
        <x:v>peru_2024_observed</x:v>
      </x:c>
      <x:c r="C81" s="57" t="str">
        <x:v>float64</x:v>
      </x:c>
      <x:c r="D81" s="57" t="str">
        <x:v>Peru 2024 observed.</x:v>
      </x:c>
    </x:row>
    <x:row r="82" ht="15" hidden="0" customHeight="1">
      <x:c r="A82" s="58" t="str">
        <x:v>peru_2025_category_calibration_audit.csv</x:v>
      </x:c>
      <x:c r="B82" s="58" t="str">
        <x:v>latam_delta_2025_2024</x:v>
      </x:c>
      <x:c r="C82" s="58" t="str">
        <x:v>float64</x:v>
      </x:c>
      <x:c r="D82" s="58" t="str">
        <x:v>Latam delta 2025 2024.</x:v>
      </x:c>
    </x:row>
    <x:row r="83" ht="15" hidden="0" customHeight="1">
      <x:c r="A83" s="57" t="str">
        <x:v>peru_2025_category_calibration_audit.csv</x:v>
      </x:c>
      <x:c r="B83" s="57" t="str">
        <x:v>world_delta_2025_2024</x:v>
      </x:c>
      <x:c r="C83" s="57" t="str">
        <x:v>float64</x:v>
      </x:c>
      <x:c r="D83" s="57" t="str">
        <x:v>World delta 2025 2024.</x:v>
      </x:c>
    </x:row>
    <x:row r="84" ht="15" hidden="0" customHeight="1">
      <x:c r="A84" s="58" t="str">
        <x:v>peru_2025_category_calibration_audit.csv</x:v>
      </x:c>
      <x:c r="B84" s="58" t="str">
        <x:v>peru_2025_modeled_anchor</x:v>
      </x:c>
      <x:c r="C84" s="58" t="str">
        <x:v>float64</x:v>
      </x:c>
      <x:c r="D84" s="58" t="str">
        <x:v>Peru 2025 modeled anchor.</x:v>
      </x:c>
    </x:row>
    <x:row r="85" ht="15" hidden="0" customHeight="1">
      <x:c r="A85" s="57" t="str">
        <x:v>peru_2025_category_calibration_audit.csv</x:v>
      </x:c>
      <x:c r="B85" s="57" t="str">
        <x:v>peru_delta_2025_2024</x:v>
      </x:c>
      <x:c r="C85" s="57" t="str">
        <x:v>float64</x:v>
      </x:c>
      <x:c r="D85" s="57" t="str">
        <x:v>Peru delta 2025 2024.</x:v>
      </x:c>
    </x:row>
    <x:row r="86" ht="15" hidden="0" customHeight="1">
      <x:c r="A86" s="58" t="str">
        <x:v>peru_2025_category_calibration_audit.csv</x:v>
      </x:c>
      <x:c r="B86" s="58" t="str">
        <x:v>rationale</x:v>
      </x:c>
      <x:c r="C86" s="58" t="str">
        <x:v>object</x:v>
      </x:c>
      <x:c r="D86" s="58" t="str">
        <x:v>Rationale.</x:v>
      </x:c>
    </x:row>
    <x:row r="87" ht="15" hidden="0" customHeight="1">
      <x:c r="A87" s="57" t="str">
        <x:v>post_election_evidence_2026.csv</x:v>
      </x:c>
      <x:c r="B87" s="57" t="str">
        <x:v>id</x:v>
      </x:c>
      <x:c r="C87" s="57" t="str">
        <x:v>object</x:v>
      </x:c>
      <x:c r="D87" s="57" t="str">
        <x:v>Id.</x:v>
      </x:c>
    </x:row>
    <x:row r="88" ht="15" hidden="0" customHeight="1">
      <x:c r="A88" s="58" t="str">
        <x:v>post_election_evidence_2026.csv</x:v>
      </x:c>
      <x:c r="B88" s="58" t="str">
        <x:v>date</x:v>
      </x:c>
      <x:c r="C88" s="58" t="str">
        <x:v>object</x:v>
      </x:c>
      <x:c r="D88" s="58" t="str">
        <x:v>Date.</x:v>
      </x:c>
    </x:row>
    <x:row r="89" ht="15" hidden="0" customHeight="1">
      <x:c r="A89" s="57" t="str">
        <x:v>post_election_evidence_2026.csv</x:v>
      </x:c>
      <x:c r="B89" s="57" t="str">
        <x:v>type</x:v>
      </x:c>
      <x:c r="C89" s="57" t="str">
        <x:v>object</x:v>
      </x:c>
      <x:c r="D89" s="57" t="str">
        <x:v>Type.</x:v>
      </x:c>
    </x:row>
    <x:row r="90" ht="15" hidden="0" customHeight="1">
      <x:c r="A90" s="58" t="str">
        <x:v>post_election_evidence_2026.csv</x:v>
      </x:c>
      <x:c r="B90" s="58" t="str">
        <x:v>source</x:v>
      </x:c>
      <x:c r="C90" s="58" t="str">
        <x:v>object</x:v>
      </x:c>
      <x:c r="D90" s="58" t="str">
        <x:v>Source.</x:v>
      </x:c>
    </x:row>
    <x:row r="91" ht="15" hidden="0" customHeight="1">
      <x:c r="A91" s="57" t="str">
        <x:v>post_election_evidence_2026.csv</x:v>
      </x:c>
      <x:c r="B91" s="57" t="str">
        <x:v>title</x:v>
      </x:c>
      <x:c r="C91" s="57" t="str">
        <x:v>object</x:v>
      </x:c>
      <x:c r="D91" s="57" t="str">
        <x:v>Title.</x:v>
      </x:c>
    </x:row>
    <x:row r="92" ht="15" hidden="0" customHeight="1">
      <x:c r="A92" s="58" t="str">
        <x:v>post_election_evidence_2026.csv</x:v>
      </x:c>
      <x:c r="B92" s="58" t="str">
        <x:v>signal</x:v>
      </x:c>
      <x:c r="C92" s="58" t="str">
        <x:v>object</x:v>
      </x:c>
      <x:c r="D92" s="58" t="str">
        <x:v>Signal.</x:v>
      </x:c>
    </x:row>
    <x:row r="93" ht="15" hidden="0" customHeight="1">
      <x:c r="A93" s="57" t="str">
        <x:v>post_election_evidence_2026.csv</x:v>
      </x:c>
      <x:c r="B93" s="57" t="str">
        <x:v>model_dimensions</x:v>
      </x:c>
      <x:c r="C93" s="57" t="str">
        <x:v>object</x:v>
      </x:c>
      <x:c r="D93" s="57" t="str">
        <x:v>Model dimensions.</x:v>
      </x:c>
    </x:row>
    <x:row r="94" ht="15" hidden="0" customHeight="1">
      <x:c r="A94" s="58" t="str">
        <x:v>post_election_evidence_2026.csv</x:v>
      </x:c>
      <x:c r="B94" s="58" t="str">
        <x:v>url</x:v>
      </x:c>
      <x:c r="C94" s="58" t="str">
        <x:v>object</x:v>
      </x:c>
      <x:c r="D94" s="58" t="str">
        <x:v>Source URL.</x:v>
      </x:c>
    </x:row>
    <x:row r="95" ht="15" hidden="0" customHeight="1">
      <x:c r="A95" s="57" t="str">
        <x:v>post_election_evidence_2026.csv</x:v>
      </x:c>
      <x:c r="B95" s="57" t="str">
        <x:v>source_priority</x:v>
      </x:c>
      <x:c r="C95" s="57" t="str">
        <x:v>object</x:v>
      </x:c>
      <x:c r="D95" s="57" t="str">
        <x:v>Categorical source-priority label; never a numeric model weight.</x:v>
      </x:c>
    </x:row>
    <x:row r="96" ht="15" hidden="0" customHeight="1">
      <x:c r="A96" s="58" t="str">
        <x:v>post_election_evidence_2026.csv</x:v>
      </x:c>
      <x:c r="B96" s="58" t="str">
        <x:v>computational_use</x:v>
      </x:c>
      <x:c r="C96" s="58" t="str">
        <x:v>bool</x:v>
      </x:c>
      <x:c r="D96" s="58" t="str">
        <x:v>Whether the evidence record is directly used as a numeric coefficient.</x:v>
      </x:c>
    </x:row>
    <x:row r="97" ht="15" hidden="0" customHeight="1">
      <x:c r="A97" s="57" t="str">
        <x:v>scenario_coefficients.csv</x:v>
      </x:c>
      <x:c r="B97" s="57" t="str">
        <x:v>scenario_id</x:v>
      </x:c>
      <x:c r="C97" s="57" t="str">
        <x:v>object</x:v>
      </x:c>
      <x:c r="D97" s="57" t="str">
        <x:v>Stable machine-readable scenario identifier.</x:v>
      </x:c>
    </x:row>
    <x:row r="98" ht="15" hidden="0" customHeight="1">
      <x:c r="A98" s="58" t="str">
        <x:v>scenario_coefficients.csv</x:v>
      </x:c>
      <x:c r="B98" s="58" t="str">
        <x:v>scenario_name</x:v>
      </x:c>
      <x:c r="C98" s="58" t="str">
        <x:v>object</x:v>
      </x:c>
      <x:c r="D98" s="58" t="str">
        <x:v>Human-readable scenario name.</x:v>
      </x:c>
    </x:row>
    <x:row r="99" ht="15" hidden="0" customHeight="1">
      <x:c r="A99" s="57" t="str">
        <x:v>scenario_coefficients.csv</x:v>
      </x:c>
      <x:c r="B99" s="57" t="str">
        <x:v>category_full</x:v>
      </x:c>
      <x:c r="C99" s="57" t="str">
        <x:v>object</x:v>
      </x:c>
      <x:c r="D99" s="57" t="str">
        <x:v>Category full.</x:v>
      </x:c>
    </x:row>
    <x:row r="100" ht="15" hidden="0" customHeight="1">
      <x:c r="A100" s="58" t="str">
        <x:v>scenario_coefficients.csv</x:v>
      </x:c>
      <x:c r="B100" s="58" t="str">
        <x:v>category_es</x:v>
      </x:c>
      <x:c r="C100" s="58" t="str">
        <x:v>object</x:v>
      </x:c>
      <x:c r="D100" s="58" t="str">
        <x:v>Category es.</x:v>
      </x:c>
    </x:row>
    <x:row r="101" ht="15" hidden="0" customHeight="1">
      <x:c r="A101" s="57" t="str">
        <x:v>scenario_coefficients.csv</x:v>
      </x:c>
      <x:c r="B101" s="57" t="str">
        <x:v>annual_structural_rate</x:v>
      </x:c>
      <x:c r="C101" s="57" t="str">
        <x:v>float64</x:v>
      </x:c>
      <x:c r="D101" s="57" t="str">
        <x:v>Annual structural rate.</x:v>
      </x:c>
    </x:row>
    <x:row r="102" ht="15" hidden="0" customHeight="1">
      <x:c r="A102" s="58" t="str">
        <x:v>scenario_coefficients.csv</x:v>
      </x:c>
      <x:c r="B102" s="58" t="str">
        <x:v>shock_2026</x:v>
      </x:c>
      <x:c r="C102" s="58" t="str">
        <x:v>float64</x:v>
      </x:c>
      <x:c r="D102" s="58" t="str">
        <x:v>Shock 2026.</x:v>
      </x:c>
    </x:row>
    <x:row r="103" ht="15" hidden="0" customHeight="1">
      <x:c r="A103" s="57" t="str">
        <x:v>scenario_coefficients.csv</x:v>
      </x:c>
      <x:c r="B103" s="57" t="str">
        <x:v>evidence_basis</x:v>
      </x:c>
      <x:c r="C103" s="57" t="str">
        <x:v>object</x:v>
      </x:c>
      <x:c r="D103" s="57" t="str">
        <x:v>Semicolon-separated evidence identifiers supporting the judgement.</x:v>
      </x:c>
    </x:row>
    <x:row r="104" ht="15" hidden="0" customHeight="1">
      <x:c r="A104" s="58" t="str">
        <x:v>scenario_parameter_samples_summary.csv</x:v>
      </x:c>
      <x:c r="B104" s="58" t="str">
        <x:v>scenario_id</x:v>
      </x:c>
      <x:c r="C104" s="58" t="str">
        <x:v>object</x:v>
      </x:c>
      <x:c r="D104" s="58" t="str">
        <x:v>Stable machine-readable scenario identifier.</x:v>
      </x:c>
    </x:row>
    <x:row r="105" ht="15" hidden="0" customHeight="1">
      <x:c r="A105" s="57" t="str">
        <x:v>scenario_parameter_samples_summary.csv</x:v>
      </x:c>
      <x:c r="B105" s="57" t="str">
        <x:v>category_full</x:v>
      </x:c>
      <x:c r="C105" s="57" t="str">
        <x:v>object</x:v>
      </x:c>
      <x:c r="D105" s="57" t="str">
        <x:v>Category full.</x:v>
      </x:c>
    </x:row>
    <x:row r="106" ht="15" hidden="0" customHeight="1">
      <x:c r="A106" s="58" t="str">
        <x:v>scenario_parameter_samples_summary.csv</x:v>
      </x:c>
      <x:c r="B106" s="58" t="str">
        <x:v>category_es</x:v>
      </x:c>
      <x:c r="C106" s="58" t="str">
        <x:v>object</x:v>
      </x:c>
      <x:c r="D106" s="58" t="str">
        <x:v>Category es.</x:v>
      </x:c>
    </x:row>
    <x:row r="107" ht="15" hidden="0" customHeight="1">
      <x:c r="A107" s="57" t="str">
        <x:v>scenario_parameter_samples_summary.csv</x:v>
      </x:c>
      <x:c r="B107" s="57" t="str">
        <x:v>parameter</x:v>
      </x:c>
      <x:c r="C107" s="57" t="str">
        <x:v>object</x:v>
      </x:c>
      <x:c r="D107" s="57" t="str">
        <x:v>Parameter.</x:v>
      </x:c>
    </x:row>
    <x:row r="108" ht="15" hidden="0" customHeight="1">
      <x:c r="A108" s="58" t="str">
        <x:v>scenario_parameter_samples_summary.csv</x:v>
      </x:c>
      <x:c r="B108" s="58" t="str">
        <x:v>p10</x:v>
      </x:c>
      <x:c r="C108" s="58" t="str">
        <x:v>float64</x:v>
      </x:c>
      <x:c r="D108" s="58" t="str">
        <x:v>10th percentile of the stated sensitivity distribution.</x:v>
      </x:c>
    </x:row>
    <x:row r="109" ht="15" hidden="0" customHeight="1">
      <x:c r="A109" s="57" t="str">
        <x:v>scenario_parameter_samples_summary.csv</x:v>
      </x:c>
      <x:c r="B109" s="57" t="str">
        <x:v>p50</x:v>
      </x:c>
      <x:c r="C109" s="57" t="str">
        <x:v>float64</x:v>
      </x:c>
      <x:c r="D109" s="57" t="str">
        <x:v>Median of the stated sensitivity distribution.</x:v>
      </x:c>
    </x:row>
    <x:row r="110" ht="15" hidden="0" customHeight="1">
      <x:c r="A110" s="58" t="str">
        <x:v>scenario_parameter_samples_summary.csv</x:v>
      </x:c>
      <x:c r="B110" s="58" t="str">
        <x:v>p90</x:v>
      </x:c>
      <x:c r="C110" s="58" t="str">
        <x:v>float64</x:v>
      </x:c>
      <x:c r="D110" s="58" t="str">
        <x:v>90th percentile of the stated sensitivity distribution.</x:v>
      </x:c>
    </x:row>
    <x:row r="111" ht="15" hidden="0" customHeight="1">
      <x:c r="A111" s="57" t="str">
        <x:v>scenario_parameter_samples_summary.csv</x:v>
      </x:c>
      <x:c r="B111" s="57" t="str">
        <x:v>n_sim</x:v>
      </x:c>
      <x:c r="C111" s="57" t="str">
        <x:v>int64</x:v>
      </x:c>
      <x:c r="D111" s="57" t="str">
        <x:v>Number of Monte Carlo sensitivity draws.</x:v>
      </x:c>
    </x:row>
    <x:row r="112" ht="15" hidden="0" customHeight="1">
      <x:c r="A112" s="58" t="str">
        <x:v>scenario_sensitivity_bands.csv</x:v>
      </x:c>
      <x:c r="B112" s="58" t="str">
        <x:v>scenario_id</x:v>
      </x:c>
      <x:c r="C112" s="58" t="str">
        <x:v>object</x:v>
      </x:c>
      <x:c r="D112" s="58" t="str">
        <x:v>Stable machine-readable scenario identifier.</x:v>
      </x:c>
    </x:row>
    <x:row r="113" ht="15" hidden="0" customHeight="1">
      <x:c r="A113" s="57" t="str">
        <x:v>scenario_sensitivity_bands.csv</x:v>
      </x:c>
      <x:c r="B113" s="57" t="str">
        <x:v>year</x:v>
      </x:c>
      <x:c r="C113" s="57" t="str">
        <x:v>int64</x:v>
      </x:c>
      <x:c r="D113" s="57" t="str">
        <x:v>Calendar or analytical year.</x:v>
      </x:c>
    </x:row>
    <x:row r="114" ht="15" hidden="0" customHeight="1">
      <x:c r="A114" s="58" t="str">
        <x:v>scenario_sensitivity_bands.csv</x:v>
      </x:c>
      <x:c r="B114" s="58" t="str">
        <x:v>p10</x:v>
      </x:c>
      <x:c r="C114" s="58" t="str">
        <x:v>float64</x:v>
      </x:c>
      <x:c r="D114" s="58" t="str">
        <x:v>10th percentile of the stated sensitivity distribution.</x:v>
      </x:c>
    </x:row>
    <x:row r="115" ht="15" hidden="0" customHeight="1">
      <x:c r="A115" s="57" t="str">
        <x:v>scenario_sensitivity_bands.csv</x:v>
      </x:c>
      <x:c r="B115" s="57" t="str">
        <x:v>p50</x:v>
      </x:c>
      <x:c r="C115" s="57" t="str">
        <x:v>float64</x:v>
      </x:c>
      <x:c r="D115" s="57" t="str">
        <x:v>Median of the stated sensitivity distribution.</x:v>
      </x:c>
    </x:row>
    <x:row r="116" ht="15" hidden="0" customHeight="1">
      <x:c r="A116" s="58" t="str">
        <x:v>scenario_sensitivity_bands.csv</x:v>
      </x:c>
      <x:c r="B116" s="58" t="str">
        <x:v>p90</x:v>
      </x:c>
      <x:c r="C116" s="58" t="str">
        <x:v>float64</x:v>
      </x:c>
      <x:c r="D116" s="58" t="str">
        <x:v>90th percentile of the stated sensitivity distribution.</x:v>
      </x:c>
    </x:row>
    <x:row r="117" ht="15" hidden="0" customHeight="1">
      <x:c r="A117" s="57" t="str">
        <x:v>scenario_sensitivity_bands.csv</x:v>
      </x:c>
      <x:c r="B117" s="57" t="str">
        <x:v>n_sim</x:v>
      </x:c>
      <x:c r="C117" s="57" t="str">
        <x:v>int64</x:v>
      </x:c>
      <x:c r="D117" s="57" t="str">
        <x:v>Number of Monte Carlo sensitivity draws.</x:v>
      </x:c>
    </x:row>
    <x:row r="118" ht="15" hidden="0" customHeight="1">
      <x:c r="A118" s="58" t="str">
        <x:v>scenario_sensitivity_bands.csv</x:v>
      </x:c>
      <x:c r="B118" s="58" t="str">
        <x:v>uncertainty_layers</x:v>
      </x:c>
      <x:c r="C118" s="58" t="str">
        <x:v>object</x:v>
      </x:c>
      <x:c r="D118" s="58" t="str">
        <x:v>Uncertainty components jointly propagated in the sensitivity exercise.</x:v>
      </x:c>
    </x:row>
    <x:row r="119" ht="15" hidden="0" customHeight="1">
      <x:c r="A119" s="57" t="str">
        <x:v>scenario_sensitivity_bands.csv</x:v>
      </x:c>
      <x:c r="B119" s="57" t="str">
        <x:v>note</x:v>
      </x:c>
      <x:c r="C119" s="57" t="str">
        <x:v>object</x:v>
      </x:c>
      <x:c r="D119" s="57" t="str">
        <x:v>Interpretive note, including limits on probabilistic claims.</x:v>
      </x:c>
    </x:row>
    <x:row r="120" ht="15" hidden="0" customHeight="1">
      <x:c r="A120" s="58" t="str">
        <x:v>scenario_sensitivity_by_category.csv</x:v>
      </x:c>
      <x:c r="B120" s="58" t="str">
        <x:v>scenario_id</x:v>
      </x:c>
      <x:c r="C120" s="58" t="str">
        <x:v>object</x:v>
      </x:c>
      <x:c r="D120" s="58" t="str">
        <x:v>Stable machine-readable scenario identifier.</x:v>
      </x:c>
    </x:row>
    <x:row r="121" ht="15" hidden="0" customHeight="1">
      <x:c r="A121" s="57" t="str">
        <x:v>scenario_sensitivity_by_category.csv</x:v>
      </x:c>
      <x:c r="B121" s="57" t="str">
        <x:v>year</x:v>
      </x:c>
      <x:c r="C121" s="57" t="str">
        <x:v>int64</x:v>
      </x:c>
      <x:c r="D121" s="57" t="str">
        <x:v>Calendar or analytical year.</x:v>
      </x:c>
    </x:row>
    <x:row r="122" ht="15" hidden="0" customHeight="1">
      <x:c r="A122" s="58" t="str">
        <x:v>scenario_sensitivity_by_category.csv</x:v>
      </x:c>
      <x:c r="B122" s="58" t="str">
        <x:v>category_full</x:v>
      </x:c>
      <x:c r="C122" s="58" t="str">
        <x:v>object</x:v>
      </x:c>
      <x:c r="D122" s="58" t="str">
        <x:v>Category full.</x:v>
      </x:c>
    </x:row>
    <x:row r="123" ht="15" hidden="0" customHeight="1">
      <x:c r="A123" s="57" t="str">
        <x:v>scenario_sensitivity_by_category.csv</x:v>
      </x:c>
      <x:c r="B123" s="57" t="str">
        <x:v>category_es</x:v>
      </x:c>
      <x:c r="C123" s="57" t="str">
        <x:v>object</x:v>
      </x:c>
      <x:c r="D123" s="57" t="str">
        <x:v>Category es.</x:v>
      </x:c>
    </x:row>
    <x:row r="124" ht="15" hidden="0" customHeight="1">
      <x:c r="A124" s="58" t="str">
        <x:v>scenario_sensitivity_by_category.csv</x:v>
      </x:c>
      <x:c r="B124" s="58" t="str">
        <x:v>p10</x:v>
      </x:c>
      <x:c r="C124" s="58" t="str">
        <x:v>float64</x:v>
      </x:c>
      <x:c r="D124" s="58" t="str">
        <x:v>10th percentile of the stated sensitivity distribution.</x:v>
      </x:c>
    </x:row>
    <x:row r="125" ht="15" hidden="0" customHeight="1">
      <x:c r="A125" s="57" t="str">
        <x:v>scenario_sensitivity_by_category.csv</x:v>
      </x:c>
      <x:c r="B125" s="57" t="str">
        <x:v>p50</x:v>
      </x:c>
      <x:c r="C125" s="57" t="str">
        <x:v>float64</x:v>
      </x:c>
      <x:c r="D125" s="57" t="str">
        <x:v>Median of the stated sensitivity distribution.</x:v>
      </x:c>
    </x:row>
    <x:row r="126" ht="15" hidden="0" customHeight="1">
      <x:c r="A126" s="58" t="str">
        <x:v>scenario_sensitivity_by_category.csv</x:v>
      </x:c>
      <x:c r="B126" s="58" t="str">
        <x:v>p90</x:v>
      </x:c>
      <x:c r="C126" s="58" t="str">
        <x:v>float64</x:v>
      </x:c>
      <x:c r="D126" s="58" t="str">
        <x:v>90th percentile of the stated sensitivity distribution.</x:v>
      </x:c>
    </x:row>
    <x:row r="127" ht="15" hidden="0" customHeight="1">
      <x:c r="A127" s="57" t="str">
        <x:v>scenario_sensitivity_by_category.csv</x:v>
      </x:c>
      <x:c r="B127" s="57" t="str">
        <x:v>n_sim</x:v>
      </x:c>
      <x:c r="C127" s="57" t="str">
        <x:v>int64</x:v>
      </x:c>
      <x:c r="D127" s="57" t="str">
        <x:v>Number of Monte Carlo sensitivity draws.</x:v>
      </x:c>
    </x:row>
    <x:row r="128" ht="15" hidden="0" customHeight="1">
      <x:c r="A128" s="58" t="str">
        <x:v>scenario_summary_2030.csv</x:v>
      </x:c>
      <x:c r="B128" s="58" t="str">
        <x:v>scenario_id</x:v>
      </x:c>
      <x:c r="C128" s="58" t="str">
        <x:v>object</x:v>
      </x:c>
      <x:c r="D128" s="58" t="str">
        <x:v>Stable machine-readable scenario identifier.</x:v>
      </x:c>
    </x:row>
    <x:row r="129" ht="15" hidden="0" customHeight="1">
      <x:c r="A129" s="57" t="str">
        <x:v>scenario_summary_2030.csv</x:v>
      </x:c>
      <x:c r="B129" s="57" t="str">
        <x:v>scenario_name</x:v>
      </x:c>
      <x:c r="C129" s="57" t="str">
        <x:v>object</x:v>
      </x:c>
      <x:c r="D129" s="57" t="str">
        <x:v>Human-readable scenario name.</x:v>
      </x:c>
    </x:row>
    <x:row r="130" ht="15" hidden="0" customHeight="1">
      <x:c r="A130" s="58" t="str">
        <x:v>scenario_summary_2030.csv</x:v>
      </x:c>
      <x:c r="B130" s="58" t="str">
        <x:v>scenario_type</x:v>
      </x:c>
      <x:c r="C130" s="58" t="str">
        <x:v>object</x:v>
      </x:c>
      <x:c r="D130" s="58" t="str">
        <x:v>Scenario type.</x:v>
      </x:c>
    </x:row>
    <x:row r="131" ht="15" hidden="0" customHeight="1">
      <x:c r="A131" s="57" t="str">
        <x:v>scenario_summary_2030.csv</x:v>
      </x:c>
      <x:c r="B131" s="57" t="str">
        <x:v>description</x:v>
      </x:c>
      <x:c r="C131" s="57" t="str">
        <x:v>object</x:v>
      </x:c>
      <x:c r="D131" s="57" t="str">
        <x:v>Description.</x:v>
      </x:c>
    </x:row>
    <x:row r="132" ht="15" hidden="0" customHeight="1">
      <x:c r="A132" s="58" t="str">
        <x:v>scenario_summary_2030.csv</x:v>
      </x:c>
      <x:c r="B132" s="58" t="str">
        <x:v>score_2026</x:v>
      </x:c>
      <x:c r="C132" s="58" t="str">
        <x:v>float64</x:v>
      </x:c>
      <x:c r="D132" s="58" t="str">
        <x:v>Score 2026.</x:v>
      </x:c>
    </x:row>
    <x:row r="133" ht="15" hidden="0" customHeight="1">
      <x:c r="A133" s="57" t="str">
        <x:v>scenario_summary_2030.csv</x:v>
      </x:c>
      <x:c r="B133" s="57" t="str">
        <x:v>score_2030</x:v>
      </x:c>
      <x:c r="C133" s="57" t="str">
        <x:v>float64</x:v>
      </x:c>
      <x:c r="D133" s="57" t="str">
        <x:v>Score 2030.</x:v>
      </x:c>
    </x:row>
    <x:row r="134" ht="15" hidden="0" customHeight="1">
      <x:c r="A134" s="58" t="str">
        <x:v>scenario_summary_2030.csv</x:v>
      </x:c>
      <x:c r="B134" s="58" t="str">
        <x:v>regime_2030</x:v>
      </x:c>
      <x:c r="C134" s="58" t="str">
        <x:v>object</x:v>
      </x:c>
      <x:c r="D134" s="58" t="str">
        <x:v>Regime 2030.</x:v>
      </x:c>
    </x:row>
    <x:row r="135" ht="15" hidden="0" customHeight="1">
      <x:c r="A135" s="57" t="str">
        <x:v>scenario_summary_2030.csv</x:v>
      </x:c>
      <x:c r="B135" s="57" t="str">
        <x:v>triggers</x:v>
      </x:c>
      <x:c r="C135" s="57" t="str">
        <x:v>object</x:v>
      </x:c>
      <x:c r="D135" s="57" t="str">
        <x:v>Triggers.</x:v>
      </x:c>
    </x:row>
    <x:row r="136" ht="15" hidden="0" customHeight="1">
      <x:c r="A136" s="58" t="str">
        <x:v>scenario_summary_2030.csv</x:v>
      </x:c>
      <x:c r="B136" s="58" t="str">
        <x:v>warnings</x:v>
      </x:c>
      <x:c r="C136" s="58" t="str">
        <x:v>object</x:v>
      </x:c>
      <x:c r="D136" s="58" t="str">
        <x:v>Warnings.</x:v>
      </x:c>
    </x:row>
    <x:row r="137" ht="15" hidden="0" customHeight="1">
      <x:c r="A137" s="57" t="str">
        <x:v>scenario_summary_2030.csv</x:v>
      </x:c>
      <x:c r="B137" s="57" t="str">
        <x:v>p10_2030</x:v>
      </x:c>
      <x:c r="C137" s="57" t="str">
        <x:v>float64</x:v>
      </x:c>
      <x:c r="D137" s="57" t="str">
        <x:v>P10 2030.</x:v>
      </x:c>
    </x:row>
    <x:row r="138" ht="15" hidden="0" customHeight="1">
      <x:c r="A138" s="58" t="str">
        <x:v>scenario_summary_2030.csv</x:v>
      </x:c>
      <x:c r="B138" s="58" t="str">
        <x:v>p50_2030</x:v>
      </x:c>
      <x:c r="C138" s="58" t="str">
        <x:v>float64</x:v>
      </x:c>
      <x:c r="D138" s="58" t="str">
        <x:v>P50 2030.</x:v>
      </x:c>
    </x:row>
    <x:row r="139" ht="15" hidden="0" customHeight="1">
      <x:c r="A139" s="57" t="str">
        <x:v>scenario_summary_2030.csv</x:v>
      </x:c>
      <x:c r="B139" s="57" t="str">
        <x:v>p90_2030</x:v>
      </x:c>
      <x:c r="C139" s="57" t="str">
        <x:v>float64</x:v>
      </x:c>
      <x:c r="D139" s="57" t="str">
        <x:v>P90 2030.</x:v>
      </x:c>
    </x:row>
    <x:row r="140" ht="15" hidden="0" customHeight="1">
      <x:c r="A140" s="58" t="str">
        <x:v>scenario_summary_2030.csv</x:v>
      </x:c>
      <x:c r="B140" s="58" t="str">
        <x:v>classification_basis</x:v>
      </x:c>
      <x:c r="C140" s="58" t="str">
        <x:v>object</x:v>
      </x:c>
      <x:c r="D140" s="58" t="str">
        <x:v>Classification basis.</x:v>
      </x:c>
    </x:row>
    <x:row r="141" ht="15" hidden="0" customHeight="1">
      <x:c r="A141" s="57" t="str">
        <x:v>scenario_trajectories_2025_2030.csv</x:v>
      </x:c>
      <x:c r="B141" s="57" t="str">
        <x:v>scenario_id</x:v>
      </x:c>
      <x:c r="C141" s="57" t="str">
        <x:v>object</x:v>
      </x:c>
      <x:c r="D141" s="57" t="str">
        <x:v>Stable machine-readable scenario identifier.</x:v>
      </x:c>
    </x:row>
    <x:row r="142" ht="15" hidden="0" customHeight="1">
      <x:c r="A142" s="58" t="str">
        <x:v>scenario_trajectories_2025_2030.csv</x:v>
      </x:c>
      <x:c r="B142" s="58" t="str">
        <x:v>scenario_name</x:v>
      </x:c>
      <x:c r="C142" s="58" t="str">
        <x:v>object</x:v>
      </x:c>
      <x:c r="D142" s="58" t="str">
        <x:v>Human-readable scenario name.</x:v>
      </x:c>
    </x:row>
    <x:row r="143" ht="15" hidden="0" customHeight="1">
      <x:c r="A143" s="57" t="str">
        <x:v>scenario_trajectories_2025_2030.csv</x:v>
      </x:c>
      <x:c r="B143" s="57" t="str">
        <x:v>year</x:v>
      </x:c>
      <x:c r="C143" s="57" t="str">
        <x:v>int64</x:v>
      </x:c>
      <x:c r="D143" s="57" t="str">
        <x:v>Calendar or analytical year.</x:v>
      </x:c>
    </x:row>
    <x:row r="144" ht="15" hidden="0" customHeight="1">
      <x:c r="A144" s="58" t="str">
        <x:v>scenario_trajectories_2025_2030.csv</x:v>
      </x:c>
      <x:c r="B144" s="58" t="str">
        <x:v>Proceso electoral y pluralismo</x:v>
      </x:c>
      <x:c r="C144" s="58" t="str">
        <x:v>float64</x:v>
      </x:c>
      <x:c r="D144" s="58" t="str">
        <x:v>Dimensional score on the 0–10 scale; interpret with data_status.</x:v>
      </x:c>
    </x:row>
    <x:row r="145" ht="15" hidden="0" customHeight="1">
      <x:c r="A145" s="57" t="str">
        <x:v>scenario_trajectories_2025_2030.csv</x:v>
      </x:c>
      <x:c r="B145" s="57" t="str">
        <x:v>Funcionamiento del gobierno</x:v>
      </x:c>
      <x:c r="C145" s="57" t="str">
        <x:v>float64</x:v>
      </x:c>
      <x:c r="D145" s="57" t="str">
        <x:v>Dimensional score on the 0–10 scale; interpret with data_status.</x:v>
      </x:c>
    </x:row>
    <x:row r="146" ht="15" hidden="0" customHeight="1">
      <x:c r="A146" s="58" t="str">
        <x:v>scenario_trajectories_2025_2030.csv</x:v>
      </x:c>
      <x:c r="B146" s="58" t="str">
        <x:v>Participación política</x:v>
      </x:c>
      <x:c r="C146" s="58" t="str">
        <x:v>float64</x:v>
      </x:c>
      <x:c r="D146" s="58" t="str">
        <x:v>Dimensional score on the 0–10 scale; interpret with data_status.</x:v>
      </x:c>
    </x:row>
    <x:row r="147" ht="15" hidden="0" customHeight="1">
      <x:c r="A147" s="57" t="str">
        <x:v>scenario_trajectories_2025_2030.csv</x:v>
      </x:c>
      <x:c r="B147" s="57" t="str">
        <x:v>Cultura política</x:v>
      </x:c>
      <x:c r="C147" s="57" t="str">
        <x:v>float64</x:v>
      </x:c>
      <x:c r="D147" s="57" t="str">
        <x:v>Dimensional score on the 0–10 scale; interpret with data_status.</x:v>
      </x:c>
    </x:row>
    <x:row r="148" ht="15" hidden="0" customHeight="1">
      <x:c r="A148" s="58" t="str">
        <x:v>scenario_trajectories_2025_2030.csv</x:v>
      </x:c>
      <x:c r="B148" s="58" t="str">
        <x:v>Libertades civiles</x:v>
      </x:c>
      <x:c r="C148" s="58" t="str">
        <x:v>float64</x:v>
      </x:c>
      <x:c r="D148" s="58" t="str">
        <x:v>Dimensional score on the 0–10 scale; interpret with data_status.</x:v>
      </x:c>
    </x:row>
    <x:row r="149" ht="15" hidden="0" customHeight="1">
      <x:c r="A149" s="57" t="str">
        <x:v>scenario_trajectories_2025_2030.csv</x:v>
      </x:c>
      <x:c r="B149" s="57" t="str">
        <x:v>overall_score</x:v>
      </x:c>
      <x:c r="C149" s="57" t="str">
        <x:v>float64</x:v>
      </x:c>
      <x:c r="D149" s="57" t="str">
        <x:v>Arithmetic mean of the five dimensional values on the 0–10 scale.</x:v>
      </x:c>
    </x:row>
    <x:row r="150" ht="15" hidden="0" customHeight="1">
      <x:c r="A150" s="58" t="str">
        <x:v>scenario_trajectories_2025_2030.csv</x:v>
      </x:c>
      <x:c r="B150" s="58" t="str">
        <x:v>phase</x:v>
      </x:c>
      <x:c r="C150" s="58" t="str">
        <x:v>object</x:v>
      </x:c>
      <x:c r="D150" s="58" t="str">
        <x:v>Phase.</x:v>
      </x:c>
    </x:row>
    <x:row r="151" ht="15" hidden="0" customHeight="1">
      <x:c r="A151" s="57" t="str">
        <x:v>scenario_trajectories_2025_2030.csv</x:v>
      </x:c>
      <x:c r="B151" s="57" t="str">
        <x:v>data_status</x:v>
      </x:c>
      <x:c r="C151" s="57" t="str">
        <x:v>object</x:v>
      </x:c>
      <x:c r="D151" s="57" t="str">
        <x:v>Controlled epistemic-status identifier from data_status_registry.csv.</x:v>
      </x:c>
    </x:row>
    <x:row r="152" ht="15" hidden="0" customHeight="1">
      <x:c r="A152" s="58" t="str">
        <x:v>scenario_trajectories_2025_2030.csv</x:v>
      </x:c>
      <x:c r="B152" s="58" t="str">
        <x:v>regime_type</x:v>
      </x:c>
      <x:c r="C152" s="58" t="str">
        <x:v>object</x:v>
      </x:c>
      <x:c r="D152" s="58" t="str">
        <x:v>Regime type.</x:v>
      </x:c>
    </x:row>
  </x:sheetData>
  <x:mergeCells>
    <x:mergeCell ref="A1:D1"/>
    <x:mergeCell ref="A2:D2"/>
  </x:mergeCells>
  <x:pageMargins left="0.7" right="0.7" top="0.75" bottom="0.75" header="0.3" footer="0.3"/>
  <x:tableParts count="1">
    <x:tablePart xmlns:r="http://schemas.openxmlformats.org/officeDocument/2006/relationships" r:id="R653c1205fa494f59"/>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21" hidden="0" customWidth="1"/>
  </x:cols>
  <x:sheetData>
    <x:row r="1" ht="30" customHeight="1">
      <x:c r="A1" s="3" t="str">
        <x:v>Cierre PRISMA de texto completo</x:v>
      </x:c>
      <x:c r="B1" s="3" t="str">
        <x:v>Cierre PRISMA de texto completo</x:v>
      </x:c>
      <x:c r="C1" s="3" t="str">
        <x:v>Cierre PRISMA de texto completo</x:v>
      </x:c>
      <x:c r="D1" s="3" t="str">
        <x:v>Cierre PRISMA de texto completo</x:v>
      </x:c>
      <x:c r="E1" s="3" t="str">
        <x:v>Cierre PRISMA de texto completo</x:v>
      </x:c>
      <x:c r="F1" s="3" t="str">
        <x:v>Cierre PRISMA de texto completo</x:v>
      </x:c>
      <x:c r="G1" s="3" t="str">
        <x:v>Cierre PRISMA de texto completo</x:v>
      </x:c>
      <x:c r="H1" s="3" t="str">
        <x:v>Cierre PRISMA de texto completo</x:v>
      </x:c>
    </x:row>
    <x:row r="2" ht="34" customHeight="1">
      <x:c r="A2" s="7" t="str">
        <x:v>Búsqueda estructurada de literatura de soporte para un artículo original; no constituye el diseño principal del estudio.</x:v>
      </x:c>
      <x:c r="B2" s="7" t="str">
        <x:v>Búsqueda estructurada de literatura de soporte para un artículo original; no constituye el diseño principal del estudio.</x:v>
      </x:c>
      <x:c r="C2" s="7" t="str">
        <x:v>Búsqueda estructurada de literatura de soporte para un artículo original; no constituye el diseño principal del estudio.</x:v>
      </x:c>
      <x:c r="D2" s="7" t="str">
        <x:v>Búsqueda estructurada de literatura de soporte para un artículo original; no constituye el diseño principal del estudio.</x:v>
      </x:c>
      <x:c r="E2" s="7" t="str">
        <x:v>Búsqueda estructurada de literatura de soporte para un artículo original; no constituye el diseño principal del estudio.</x:v>
      </x:c>
      <x:c r="F2" s="7" t="str">
        <x:v>Búsqueda estructurada de literatura de soporte para un artículo original; no constituye el diseño principal del estudio.</x:v>
      </x:c>
      <x:c r="G2" s="7" t="str">
        <x:v>Búsqueda estructurada de literatura de soporte para un artículo original; no constituye el diseño principal del estudio.</x:v>
      </x:c>
      <x:c r="H2" s="7" t="str">
        <x:v>Búsqueda estructurada de literatura de soporte para un artículo original; no constituye el diseño principal del estudio.</x:v>
      </x:c>
    </x:row>
    <x:row r="3" ht="4" customHeight="1">
      <x:c r="A3" s="8"/>
      <x:c r="B3" s="8"/>
      <x:c r="C3" s="8"/>
      <x:c r="D3" s="8"/>
      <x:c r="E3" s="8"/>
      <x:c r="F3" s="8"/>
      <x:c r="G3" s="8"/>
      <x:c r="H3" s="8"/>
    </x:row>
    <x:row r="5" ht="36" customHeight="1">
      <x:c r="A5" s="14" t="str">
        <x:v>Etapa</x:v>
      </x:c>
      <x:c r="B5" s="14" t="str">
        <x:v>n</x:v>
      </x:c>
      <x:c r="D5" s="14" t="str">
        <x:v>Comprobación</x:v>
      </x:c>
      <x:c r="E5" s="14" t="str">
        <x:v>Operación</x:v>
      </x:c>
      <x:c r="F5" s="14" t="str">
        <x:v>Resultado</x:v>
      </x:c>
      <x:c r="G5" s="14" t="str">
        <x:v>Esperado</x:v>
      </x:c>
      <x:c r="H5" s="14" t="str">
        <x:v>Estado</x:v>
      </x:c>
    </x:row>
    <x:row r="6">
      <x:c r="A6" s="58" t="str">
        <x:v>Identificados</x:v>
      </x:c>
      <x:c r="B6" s="90" t="n">
        <x:v>767</x:v>
      </x:c>
      <x:c r="C6" s="58"/>
      <x:c r="D6" s="58" t="str">
        <x:v>Cribado</x:v>
      </x:c>
      <x:c r="E6" s="58" t="str">
        <x:v>767-116-3</x:v>
      </x:c>
      <x:c r="F6" t="n">
        <x:v>648</x:v>
      </x:c>
      <x:c r="G6" t="n">
        <x:v>648</x:v>
      </x:c>
      <x:c r="H6" t="str">
        <x:f>IF(F6=G6,"PASS","FAIL")</x:f>
        <x:v>PASS</x:v>
      </x:c>
    </x:row>
    <x:row r="7">
      <x:c r="A7" s="57" t="str">
        <x:v>Duplicados</x:v>
      </x:c>
      <x:c r="B7" s="91" t="n">
        <x:v>116</x:v>
      </x:c>
      <x:c r="C7" s="57"/>
      <x:c r="D7" s="57" t="str">
        <x:v>Full-text buscado</x:v>
      </x:c>
      <x:c r="E7" s="57" t="str">
        <x:v>648-576</x:v>
      </x:c>
      <x:c r="F7" t="n">
        <x:v>72</x:v>
      </x:c>
      <x:c r="G7" t="n">
        <x:v>72</x:v>
      </x:c>
      <x:c r="H7" t="str">
        <x:f>IF(F7=G7,"PASS","FAIL")</x:f>
        <x:v>PASS</x:v>
      </x:c>
    </x:row>
    <x:row r="8">
      <x:c r="A8" s="58" t="str">
        <x:v>Otras compuertas</x:v>
      </x:c>
      <x:c r="B8" s="90" t="n">
        <x:v>3</x:v>
      </x:c>
      <x:c r="C8" s="58"/>
      <x:c r="D8" s="58" t="str">
        <x:v>Evaluado</x:v>
      </x:c>
      <x:c r="E8" s="58" t="str">
        <x:v>72-30</x:v>
      </x:c>
      <x:c r="F8" t="n">
        <x:v>42</x:v>
      </x:c>
      <x:c r="G8" t="n">
        <x:v>42</x:v>
      </x:c>
      <x:c r="H8" t="str">
        <x:f>IF(F8=G8,"PASS","FAIL")</x:f>
        <x:v>PASS</x:v>
      </x:c>
    </x:row>
    <x:row r="9">
      <x:c r="A9" s="57" t="str">
        <x:v>Cribados</x:v>
      </x:c>
      <x:c r="B9" s="91" t="n">
        <x:v>648</x:v>
      </x:c>
      <x:c r="C9" s="57"/>
      <x:c r="D9" s="57" t="str">
        <x:v>Incluido</x:v>
      </x:c>
      <x:c r="E9" s="57" t="str">
        <x:v>42-13</x:v>
      </x:c>
      <x:c r="F9" t="n">
        <x:v>29</x:v>
      </x:c>
      <x:c r="G9" t="n">
        <x:v>29</x:v>
      </x:c>
      <x:c r="H9" t="str">
        <x:f>IF(F9=G9,"PASS","FAIL")</x:f>
        <x:v>PASS</x:v>
      </x:c>
    </x:row>
    <x:row r="10">
      <x:c r="A10" s="58" t="str">
        <x:v>Excluidos título/resumen</x:v>
      </x:c>
      <x:c r="B10" s="90" t="n">
        <x:v>576</x:v>
      </x:c>
    </x:row>
    <x:row r="11">
      <x:c r="A11" s="57" t="str">
        <x:v>Buscados</x:v>
      </x:c>
      <x:c r="B11" s="91" t="n">
        <x:v>72</x:v>
      </x:c>
    </x:row>
    <x:row r="12">
      <x:c r="A12" s="58" t="str">
        <x:v>No recuperados</x:v>
      </x:c>
      <x:c r="B12" s="90" t="n">
        <x:v>30</x:v>
      </x:c>
    </x:row>
    <x:row r="13">
      <x:c r="A13" s="57" t="str">
        <x:v>Evaluados full-text</x:v>
      </x:c>
      <x:c r="B13" s="91" t="n">
        <x:v>42</x:v>
      </x:c>
    </x:row>
    <x:row r="14">
      <x:c r="A14" s="58" t="str">
        <x:v>Incluidos</x:v>
      </x:c>
      <x:c r="B14" s="90" t="n">
        <x:v>29</x:v>
      </x:c>
    </x:row>
    <x:row r="17">
      <x:c r="A17" s="45" t="str">
        <x:v>Regla de interpretación: los 29 estudios sostienen contexto, definiciones y decisiones de exposición. No estiman probabilidades de escenarios ni modifican automáticamente parámetros del modelo.</x:v>
      </x:c>
      <x:c r="B17" s="46" t="str">
        <x:v>Regla de interpretación: los 29 estudios sostienen contexto, definiciones y decisiones de exposición. No estiman probabilidades de escenarios ni modifican automáticamente parámetros del modelo.</x:v>
      </x:c>
      <x:c r="C17" s="46" t="str">
        <x:v>Regla de interpretación: los 29 estudios sostienen contexto, definiciones y decisiones de exposición. No estiman probabilidades de escenarios ni modifican automáticamente parámetros del modelo.</x:v>
      </x:c>
      <x:c r="D17" s="46" t="str">
        <x:v>Regla de interpretación: los 29 estudios sostienen contexto, definiciones y decisiones de exposición. No estiman probabilidades de escenarios ni modifican automáticamente parámetros del modelo.</x:v>
      </x:c>
      <x:c r="E17" s="46" t="str">
        <x:v>Regla de interpretación: los 29 estudios sostienen contexto, definiciones y decisiones de exposición. No estiman probabilidades de escenarios ni modifican automáticamente parámetros del modelo.</x:v>
      </x:c>
      <x:c r="F17" s="46" t="str">
        <x:v>Regla de interpretación: los 29 estudios sostienen contexto, definiciones y decisiones de exposición. No estiman probabilidades de escenarios ni modifican automáticamente parámetros del modelo.</x:v>
      </x:c>
      <x:c r="G17" s="46" t="str">
        <x:v>Regla de interpretación: los 29 estudios sostienen contexto, definiciones y decisiones de exposición. No estiman probabilidades de escenarios ni modifican automáticamente parámetros del modelo.</x:v>
      </x:c>
      <x:c r="H17" s="47" t="str">
        <x:v>Regla de interpretación: los 29 estudios sostienen contexto, definiciones y decisiones de exposición. No estiman probabilidades de escenarios ni modifican automáticamente parámetros del modelo.</x:v>
      </x:c>
    </x:row>
    <x:row r="18">
      <x:c r="A18" s="48" t="str">
        <x:v>Regla de interpretación: los 29 estudios sostienen contexto, definiciones y decisiones de exposición. No estiman probabilidades de escenarios ni modifican automáticamente parámetros del modelo.</x:v>
      </x:c>
      <x:c r="B18" s="49" t="str">
        <x:v>Regla de interpretación: los 29 estudios sostienen contexto, definiciones y decisiones de exposición. No estiman probabilidades de escenarios ni modifican automáticamente parámetros del modelo.</x:v>
      </x:c>
      <x:c r="C18" s="49" t="str">
        <x:v>Regla de interpretación: los 29 estudios sostienen contexto, definiciones y decisiones de exposición. No estiman probabilidades de escenarios ni modifican automáticamente parámetros del modelo.</x:v>
      </x:c>
      <x:c r="D18" s="49" t="str">
        <x:v>Regla de interpretación: los 29 estudios sostienen contexto, definiciones y decisiones de exposición. No estiman probabilidades de escenarios ni modifican automáticamente parámetros del modelo.</x:v>
      </x:c>
      <x:c r="E18" s="49" t="str">
        <x:v>Regla de interpretación: los 29 estudios sostienen contexto, definiciones y decisiones de exposición. No estiman probabilidades de escenarios ni modifican automáticamente parámetros del modelo.</x:v>
      </x:c>
      <x:c r="F18" s="49" t="str">
        <x:v>Regla de interpretación: los 29 estudios sostienen contexto, definiciones y decisiones de exposición. No estiman probabilidades de escenarios ni modifican automáticamente parámetros del modelo.</x:v>
      </x:c>
      <x:c r="G18" s="49" t="str">
        <x:v>Regla de interpretación: los 29 estudios sostienen contexto, definiciones y decisiones de exposición. No estiman probabilidades de escenarios ni modifican automáticamente parámetros del modelo.</x:v>
      </x:c>
      <x:c r="H18" s="50" t="str">
        <x:v>Regla de interpretación: los 29 estudios sostienen contexto, definiciones y decisiones de exposición. No estiman probabilidades de escenarios ni modifican automáticamente parámetros del modelo.</x:v>
      </x:c>
    </x:row>
    <x:row r="19">
      <x:c r="A19" s="51" t="str">
        <x:v>Regla de interpretación: los 29 estudios sostienen contexto, definiciones y decisiones de exposición. No estiman probabilidades de escenarios ni modifican automáticamente parámetros del modelo.</x:v>
      </x:c>
      <x:c r="B19" s="52" t="str">
        <x:v>Regla de interpretación: los 29 estudios sostienen contexto, definiciones y decisiones de exposición. No estiman probabilidades de escenarios ni modifican automáticamente parámetros del modelo.</x:v>
      </x:c>
      <x:c r="C19" s="52" t="str">
        <x:v>Regla de interpretación: los 29 estudios sostienen contexto, definiciones y decisiones de exposición. No estiman probabilidades de escenarios ni modifican automáticamente parámetros del modelo.</x:v>
      </x:c>
      <x:c r="D19" s="52" t="str">
        <x:v>Regla de interpretación: los 29 estudios sostienen contexto, definiciones y decisiones de exposición. No estiman probabilidades de escenarios ni modifican automáticamente parámetros del modelo.</x:v>
      </x:c>
      <x:c r="E19" s="52" t="str">
        <x:v>Regla de interpretación: los 29 estudios sostienen contexto, definiciones y decisiones de exposición. No estiman probabilidades de escenarios ni modifican automáticamente parámetros del modelo.</x:v>
      </x:c>
      <x:c r="F19" s="52" t="str">
        <x:v>Regla de interpretación: los 29 estudios sostienen contexto, definiciones y decisiones de exposición. No estiman probabilidades de escenarios ni modifican automáticamente parámetros del modelo.</x:v>
      </x:c>
      <x:c r="G19" s="52" t="str">
        <x:v>Regla de interpretación: los 29 estudios sostienen contexto, definiciones y decisiones de exposición. No estiman probabilidades de escenarios ni modifican automáticamente parámetros del modelo.</x:v>
      </x:c>
      <x:c r="H19" s="53" t="str">
        <x:v>Regla de interpretación: los 29 estudios sostienen contexto, definiciones y decisiones de exposición. No estiman probabilidades de escenarios ni modifican automáticamente parámetros del modelo.</x:v>
      </x:c>
    </x:row>
  </x:sheetData>
  <x:mergeCells>
    <x:mergeCell ref="A1:H1"/>
    <x:mergeCell ref="A2:H2"/>
    <x:mergeCell ref="A17:H19"/>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30" hidden="0" customWidth="1"/>
    <x:col min="4" max="4" width="44" hidden="0" customWidth="1"/>
    <x:col min="5" max="5" width="44" hidden="0" customWidth="1"/>
    <x:col min="6" max="6" width="30" hidden="0" customWidth="1"/>
    <x:col min="7" max="7" width="44" hidden="0" customWidth="1"/>
    <x:col min="8" max="8" width="30" hidden="0" customWidth="1"/>
    <x:col min="9" max="9" width="30" hidden="0" customWidth="1"/>
    <x:col min="10" max="10" width="30" hidden="0" customWidth="1"/>
    <x:col min="11" max="11" width="44" hidden="0" customWidth="1"/>
    <x:col min="12" max="12" width="44" hidden="0" customWidth="1"/>
    <x:col min="13" max="13" width="30" hidden="0" customWidth="1"/>
    <x:col min="14" max="14" width="30" hidden="0" customWidth="1"/>
    <x:col min="15" max="15" width="44" hidden="0" customWidth="1"/>
    <x:col min="16" max="16" width="30" hidden="0" customWidth="1"/>
    <x:col min="17" max="17" width="30" hidden="0" customWidth="1"/>
    <x:col min="18" max="18" width="30" hidden="0" customWidth="1"/>
    <x:col min="19" max="19" width="30" hidden="0" customWidth="1"/>
    <x:col min="20" max="20" width="44" hidden="0" customWidth="1"/>
    <x:col min="21" max="21" width="30" hidden="0" customWidth="1"/>
    <x:col min="22" max="22" width="30" hidden="0" customWidth="1"/>
    <x:col min="23" max="23" width="30" hidden="0" customWidth="1"/>
    <x:col min="24" max="24" width="30" hidden="0" customWidth="1"/>
    <x:col min="25" max="25" width="44" hidden="0" customWidth="1"/>
    <x:col min="26" max="26" width="30" hidden="0" customWidth="1"/>
    <x:col min="27" max="27" width="30" hidden="0" customWidth="1"/>
    <x:col min="28" max="28" width="44" hidden="0" customWidth="1"/>
    <x:col min="29" max="29" width="30" hidden="0" customWidth="1"/>
  </x:cols>
  <x:sheetData>
    <x:row r="1" ht="19.200000762939453" hidden="0" customHeight="1">
      <x:c r="A1" s="3" t="str">
        <x:v>Decisiones de texto completo (n = 72)</x:v>
      </x:c>
      <x:c r="B1" s="3" t="str">
        <x:v>Decisiones de texto completo (n = 72)</x:v>
      </x:c>
      <x:c r="C1" s="3" t="str">
        <x:v>Decisiones de texto completo (n = 72)</x:v>
      </x:c>
      <x:c r="D1" s="3" t="str">
        <x:v>Decisiones de texto completo (n = 72)</x:v>
      </x:c>
      <x:c r="E1" s="3" t="str">
        <x:v>Decisiones de texto completo (n = 72)</x:v>
      </x:c>
      <x:c r="F1" s="3" t="str">
        <x:v>Decisiones de texto completo (n = 72)</x:v>
      </x:c>
      <x:c r="G1" s="3" t="str">
        <x:v>Decisiones de texto completo (n = 72)</x:v>
      </x:c>
      <x:c r="H1" s="3" t="str">
        <x:v>Decisiones de texto completo (n = 72)</x:v>
      </x:c>
      <x:c r="I1" s="3" t="str">
        <x:v>Decisiones de texto completo (n = 72)</x:v>
      </x:c>
      <x:c r="J1" s="3" t="str">
        <x:v>Decisiones de texto completo (n = 72)</x:v>
      </x:c>
      <x:c r="K1" s="3" t="str">
        <x:v>Decisiones de texto completo (n = 72)</x:v>
      </x:c>
      <x:c r="L1" s="3" t="str">
        <x:v>Decisiones de texto completo (n = 72)</x:v>
      </x:c>
      <x:c r="M1" s="3" t="str">
        <x:v>Decisiones de texto completo (n = 72)</x:v>
      </x:c>
      <x:c r="N1" s="3" t="str">
        <x:v>Decisiones de texto completo (n = 72)</x:v>
      </x:c>
      <x:c r="O1" s="3" t="str">
        <x:v>Decisiones de texto completo (n = 72)</x:v>
      </x:c>
      <x:c r="P1" s="3" t="str">
        <x:v>Decisiones de texto completo (n = 72)</x:v>
      </x:c>
      <x:c r="Q1" s="3" t="str">
        <x:v>Decisiones de texto completo (n = 72)</x:v>
      </x:c>
      <x:c r="R1" s="3" t="str">
        <x:v>Decisiones de texto completo (n = 72)</x:v>
      </x:c>
      <x:c r="S1" s="3" t="str">
        <x:v>Decisiones de texto completo (n = 72)</x:v>
      </x:c>
      <x:c r="T1" s="3" t="str">
        <x:v>Decisiones de texto completo (n = 72)</x:v>
      </x:c>
      <x:c r="U1" s="3" t="str">
        <x:v>Decisiones de texto completo (n = 72)</x:v>
      </x:c>
      <x:c r="V1" s="3" t="str">
        <x:v>Decisiones de texto completo (n = 72)</x:v>
      </x:c>
      <x:c r="W1" s="3" t="str">
        <x:v>Decisiones de texto completo (n = 72)</x:v>
      </x:c>
      <x:c r="X1" s="3" t="str">
        <x:v>Decisiones de texto completo (n = 72)</x:v>
      </x:c>
      <x:c r="Y1" s="3" t="str">
        <x:v>Decisiones de texto completo (n = 72)</x:v>
      </x:c>
      <x:c r="Z1" s="3" t="str">
        <x:v>Decisiones de texto completo (n = 72)</x:v>
      </x:c>
      <x:c r="AA1" s="3" t="str">
        <x:v>Decisiones de texto completo (n = 72)</x:v>
      </x:c>
      <x:c r="AB1" s="3" t="str">
        <x:v>Decisiones de texto completo (n = 72)</x:v>
      </x:c>
      <x:c r="AC1" s="3" t="str">
        <x:v>Decisiones de texto completo (n = 72)</x:v>
      </x:c>
    </x:row>
    <x:row r="2" ht="15" hidden="0" customHeight="1">
      <x:c r="A2" s="7" t="str">
        <x:v>Trazabilidad completa de recuperación, identidad, elegibilidad, appraisal e incorporación.</x:v>
      </x:c>
      <x:c r="B2" s="7" t="str">
        <x:v>Trazabilidad completa de recuperación, identidad, elegibilidad, appraisal e incorporación.</x:v>
      </x:c>
      <x:c r="C2" s="7" t="str">
        <x:v>Trazabilidad completa de recuperación, identidad, elegibilidad, appraisal e incorporación.</x:v>
      </x:c>
      <x:c r="D2" s="7" t="str">
        <x:v>Trazabilidad completa de recuperación, identidad, elegibilidad, appraisal e incorporación.</x:v>
      </x:c>
      <x:c r="E2" s="7" t="str">
        <x:v>Trazabilidad completa de recuperación, identidad, elegibilidad, appraisal e incorporación.</x:v>
      </x:c>
      <x:c r="F2" s="7" t="str">
        <x:v>Trazabilidad completa de recuperación, identidad, elegibilidad, appraisal e incorporación.</x:v>
      </x:c>
      <x:c r="G2" s="7" t="str">
        <x:v>Trazabilidad completa de recuperación, identidad, elegibilidad, appraisal e incorporación.</x:v>
      </x:c>
      <x:c r="H2" s="7" t="str">
        <x:v>Trazabilidad completa de recuperación, identidad, elegibilidad, appraisal e incorporación.</x:v>
      </x:c>
      <x:c r="I2" s="7" t="str">
        <x:v>Trazabilidad completa de recuperación, identidad, elegibilidad, appraisal e incorporación.</x:v>
      </x:c>
      <x:c r="J2" s="7" t="str">
        <x:v>Trazabilidad completa de recuperación, identidad, elegibilidad, appraisal e incorporación.</x:v>
      </x:c>
      <x:c r="K2" s="7" t="str">
        <x:v>Trazabilidad completa de recuperación, identidad, elegibilidad, appraisal e incorporación.</x:v>
      </x:c>
      <x:c r="L2" s="7" t="str">
        <x:v>Trazabilidad completa de recuperación, identidad, elegibilidad, appraisal e incorporación.</x:v>
      </x:c>
      <x:c r="M2" s="7" t="str">
        <x:v>Trazabilidad completa de recuperación, identidad, elegibilidad, appraisal e incorporación.</x:v>
      </x:c>
      <x:c r="N2" s="7" t="str">
        <x:v>Trazabilidad completa de recuperación, identidad, elegibilidad, appraisal e incorporación.</x:v>
      </x:c>
      <x:c r="O2" s="7" t="str">
        <x:v>Trazabilidad completa de recuperación, identidad, elegibilidad, appraisal e incorporación.</x:v>
      </x:c>
      <x:c r="P2" s="7" t="str">
        <x:v>Trazabilidad completa de recuperación, identidad, elegibilidad, appraisal e incorporación.</x:v>
      </x:c>
      <x:c r="Q2" s="7" t="str">
        <x:v>Trazabilidad completa de recuperación, identidad, elegibilidad, appraisal e incorporación.</x:v>
      </x:c>
      <x:c r="R2" s="7" t="str">
        <x:v>Trazabilidad completa de recuperación, identidad, elegibilidad, appraisal e incorporación.</x:v>
      </x:c>
      <x:c r="S2" s="7" t="str">
        <x:v>Trazabilidad completa de recuperación, identidad, elegibilidad, appraisal e incorporación.</x:v>
      </x:c>
      <x:c r="T2" s="7" t="str">
        <x:v>Trazabilidad completa de recuperación, identidad, elegibilidad, appraisal e incorporación.</x:v>
      </x:c>
      <x:c r="U2" s="7" t="str">
        <x:v>Trazabilidad completa de recuperación, identidad, elegibilidad, appraisal e incorporación.</x:v>
      </x:c>
      <x:c r="V2" s="7" t="str">
        <x:v>Trazabilidad completa de recuperación, identidad, elegibilidad, appraisal e incorporación.</x:v>
      </x:c>
      <x:c r="W2" s="7" t="str">
        <x:v>Trazabilidad completa de recuperación, identidad, elegibilidad, appraisal e incorporación.</x:v>
      </x:c>
      <x:c r="X2" s="7" t="str">
        <x:v>Trazabilidad completa de recuperación, identidad, elegibilidad, appraisal e incorporación.</x:v>
      </x:c>
      <x:c r="Y2" s="7" t="str">
        <x:v>Trazabilidad completa de recuperación, identidad, elegibilidad, appraisal e incorporación.</x:v>
      </x:c>
      <x:c r="Z2" s="7" t="str">
        <x:v>Trazabilidad completa de recuperación, identidad, elegibilidad, appraisal e incorporación.</x:v>
      </x:c>
      <x:c r="AA2" s="7" t="str">
        <x:v>Trazabilidad completa de recuperación, identidad, elegibilidad, appraisal e incorporación.</x:v>
      </x:c>
      <x:c r="AB2" s="7" t="str">
        <x:v>Trazabilidad completa de recuperación, identidad, elegibilidad, appraisal e incorporación.</x:v>
      </x:c>
      <x:c r="AC2" s="7" t="str">
        <x:v>Trazabilidad completa de recuperación, identidad, elegibilidad, appraisal e incorporación.</x:v>
      </x:c>
    </x:row>
    <x:row r="3" ht="15" hidden="0" customHeight="1">
      <x:c r="A3" s="8"/>
      <x:c r="B3" s="8"/>
      <x:c r="C3" s="8"/>
      <x:c r="D3" s="8"/>
      <x:c r="E3" s="8"/>
      <x:c r="F3" s="8"/>
      <x:c r="G3" s="8"/>
      <x:c r="H3" s="8"/>
      <x:c r="I3" s="8"/>
      <x:c r="J3" s="8"/>
      <x:c r="K3" s="8"/>
      <x:c r="L3" s="8"/>
      <x:c r="M3" s="8"/>
      <x:c r="N3" s="8"/>
      <x:c r="O3" s="8"/>
      <x:c r="P3" s="8"/>
      <x:c r="Q3" s="8"/>
      <x:c r="R3" s="8"/>
      <x:c r="S3" s="8"/>
      <x:c r="T3" s="8"/>
      <x:c r="U3" s="8"/>
      <x:c r="V3" s="8"/>
      <x:c r="W3" s="8"/>
      <x:c r="X3" s="8"/>
      <x:c r="Y3" s="8"/>
      <x:c r="Z3" s="8"/>
      <x:c r="AA3" s="8"/>
      <x:c r="AB3" s="8"/>
      <x:c r="AC3" s="8"/>
    </x:row>
    <x:row r="4"/>
    <x:row r="5" ht="15" hidden="0" customHeight="1">
      <x:c r="A5" s="14" t="str">
        <x:v>﻿record_id</x:v>
      </x:c>
      <x:c r="B5" s="14" t="str">
        <x:v>queue_priority</x:v>
      </x:c>
      <x:c r="C5" s="14" t="str">
        <x:v>title_abstract_status</x:v>
      </x:c>
      <x:c r="D5" s="14" t="str">
        <x:v>title</x:v>
      </x:c>
      <x:c r="E5" s="14" t="str">
        <x:v>authors</x:v>
      </x:c>
      <x:c r="F5" s="14" t="str">
        <x:v>year</x:v>
      </x:c>
      <x:c r="G5" s="14" t="str">
        <x:v>source</x:v>
      </x:c>
      <x:c r="H5" s="14" t="str">
        <x:v>database</x:v>
      </x:c>
      <x:c r="I5" s="14" t="str">
        <x:v>profile</x:v>
      </x:c>
      <x:c r="J5" s="14" t="str">
        <x:v>doi</x:v>
      </x:c>
      <x:c r="K5" s="14" t="str">
        <x:v>record_url</x:v>
      </x:c>
      <x:c r="L5" s="14" t="str">
        <x:v>fulltext_url</x:v>
      </x:c>
      <x:c r="M5" s="14" t="str">
        <x:v>retrieval_status</x:v>
      </x:c>
      <x:c r="N5" s="14" t="str">
        <x:v>access_route</x:v>
      </x:c>
      <x:c r="O5" s="14" t="str">
        <x:v>retrieval_evidence</x:v>
      </x:c>
      <x:c r="P5" s="14" t="str">
        <x:v>pdf_identity_gate</x:v>
      </x:c>
      <x:c r="Q5" s="14" t="str">
        <x:v>fulltext_assessed</x:v>
      </x:c>
      <x:c r="R5" s="14" t="str">
        <x:v>eligibility_status</x:v>
      </x:c>
      <x:c r="S5" s="14" t="str">
        <x:v>final_inclusion</x:v>
      </x:c>
      <x:c r="T5" s="14" t="str">
        <x:v>exclusion_reason</x:v>
      </x:c>
      <x:c r="U5" s="14" t="str">
        <x:v>appraisal_tool</x:v>
      </x:c>
      <x:c r="V5" s="14" t="str">
        <x:v>appraisal_rating</x:v>
      </x:c>
      <x:c r="W5" s="14" t="str">
        <x:v>article_section</x:v>
      </x:c>
      <x:c r="X5" s="14" t="str">
        <x:v>evidence_role</x:v>
      </x:c>
      <x:c r="Y5" s="14" t="str">
        <x:v>democracy_dimension</x:v>
      </x:c>
      <x:c r="Z5" s="14" t="str">
        <x:v>scenario_link</x:v>
      </x:c>
      <x:c r="AA5" s="14" t="str">
        <x:v>claim_supported</x:v>
      </x:c>
      <x:c r="AB5" s="14" t="str">
        <x:v>parameter_effect</x:v>
      </x:c>
      <x:c r="AC5" s="14" t="str">
        <x:v>review_note</x:v>
      </x:c>
    </x:row>
    <x:row r="6" ht="15" hidden="0" customHeight="1">
      <x:c r="A6" s="58" t="str">
        <x:v>R000001</x:v>
      </x:c>
      <x:c r="B6" s="58" t="n">
        <x:v>1</x:v>
      </x:c>
      <x:c r="C6" s="58" t="str">
        <x:v>provisional_include</x:v>
      </x:c>
      <x:c r="D6" s="58" t="str">
        <x:v>Under Pressure: Explaining Backlash Against Civil Society in the Andean Community</x:v>
      </x:c>
      <x:c r="E6" s="58" t="str">
        <x:v>Noah Anders Levine</x:v>
      </x:c>
      <x:c r="F6" s="58" t="n">
        <x:v>2018</x:v>
      </x:c>
      <x:c r="G6" s="58" t="str">
        <x:v>Scholarship @ Claremont (The Claremont Colleges)</x:v>
      </x:c>
      <x:c r="H6" s="58" t="str">
        <x:v>openalex</x:v>
      </x:c>
      <x:c r="I6" s="58" t="str">
        <x:v>module_A_en</x:v>
      </x:c>
      <x:c r="J6" s="58"/>
      <x:c r="K6" s="58" t="str">
        <x:v>https://openalex.org/W2891281268</x:v>
      </x:c>
      <x:c r="L6" s="58" t="str">
        <x:v>https://scholarship.claremont.edu/cgi/viewcontent.cgi?article=1199&amp;context=pomona_theses</x:v>
      </x:c>
      <x:c r="M6" s="58" t="str">
        <x:v>retrieved</x:v>
      </x:c>
      <x:c r="N6" s="58" t="str">
        <x:v>drive_open_access</x:v>
      </x:c>
      <x:c r="O6" s="58" t="str">
        <x:v>Google Drive OA folder; local extraction drive_02.txt</x:v>
      </x:c>
      <x:c r="P6" s="58" t="str">
        <x:v>passed</x:v>
      </x:c>
      <x:c r="Q6" s="58" t="str">
        <x:v>yes</x:v>
      </x:c>
      <x:c r="R6" s="58" t="str">
        <x:v>eligible</x:v>
      </x:c>
      <x:c r="S6" s="58" t="str">
        <x:v>included</x:v>
      </x:c>
      <x:c r="T6" s="58"/>
      <x:c r="U6" s="58" t="str">
        <x:v>AACODS</x:v>
      </x:c>
      <x:c r="V6" s="58" t="str">
        <x:v>moderada</x:v>
      </x:c>
      <x:c r="W6" s="58" t="str">
        <x:v>Introducción y discusión</x:v>
      </x:c>
      <x:c r="X6" s="58" t="str">
        <x:v>contexto de contracción del espacio cívico</x:v>
      </x:c>
      <x:c r="Y6" s="58" t="str">
        <x:v>libertades_civiles</x:v>
      </x:c>
      <x:c r="Z6" s="58" t="str">
        <x:v>restrictivo</x:v>
      </x:c>
      <x:c r="AA6" s="58" t="str">
        <x:v>La presión sobre la sociedad civil ayuda a interpretar riesgos de cierre del espacio cívico.</x:v>
      </x:c>
      <x:c r="AB6" s="58" t="str">
        <x:v>none; bibliographic evidence does not modify model parameters automatically</x:v>
      </x:c>
      <x:c r="AC6" s="58" t="str">
        <x:v>Support corpus for an original article; not a systematic-review outcome.</x:v>
      </x:c>
    </x:row>
    <x:row r="7" ht="15" hidden="0" customHeight="1">
      <x:c r="A7" s="57" t="str">
        <x:v>R000005</x:v>
      </x:c>
      <x:c r="B7" s="57" t="n">
        <x:v>1</x:v>
      </x:c>
      <x:c r="C7" s="57" t="str">
        <x:v>provisional_include</x:v>
      </x:c>
      <x:c r="D7" s="57" t="str">
        <x:v>A Lexical Index of Electoral Democracy</x:v>
      </x:c>
      <x:c r="E7" s="57" t="str">
        <x:v>Svend‐Erik Skaaning; John Gerring; Henrikas Bartusevičius</x:v>
      </x:c>
      <x:c r="F7" s="57" t="n">
        <x:v>2015</x:v>
      </x:c>
      <x:c r="G7" s="57" t="str">
        <x:v>Comparative Political Studies</x:v>
      </x:c>
      <x:c r="H7" s="57" t="str">
        <x:v>openalex</x:v>
      </x:c>
      <x:c r="I7" s="57" t="str">
        <x:v>module_C_en</x:v>
      </x:c>
      <x:c r="J7" s="57" t="str">
        <x:v>10.1177/0010414015581050</x:v>
      </x:c>
      <x:c r="K7" s="57" t="str">
        <x:v>https://openalex.org/W2125688819</x:v>
      </x:c>
      <x:c r="L7" s="57" t="str">
        <x:v>https://pure.au.dk/ws/files/110316577/A_Lexical_Index_of_Electoral_Democracy_postprint_2015.pdf</x:v>
      </x:c>
      <x:c r="M7" s="57" t="str">
        <x:v>retrieved</x:v>
      </x:c>
      <x:c r="N7" s="57" t="str">
        <x:v>drive_open_access</x:v>
      </x:c>
      <x:c r="O7" s="57" t="str">
        <x:v>Google Drive OA folder; local extraction drive_27.txt</x:v>
      </x:c>
      <x:c r="P7" s="57" t="str">
        <x:v>passed</x:v>
      </x:c>
      <x:c r="Q7" s="57" t="str">
        <x:v>yes</x:v>
      </x:c>
      <x:c r="R7" s="57" t="str">
        <x:v>eligible</x:v>
      </x:c>
      <x:c r="S7" s="57" t="str">
        <x:v>included</x:v>
      </x:c>
      <x:c r="T7" s="57"/>
      <x:c r="U7" s="57" t="str">
        <x:v>METHOD_RELEVANCE</x:v>
      </x:c>
      <x:c r="V7" s="57" t="str">
        <x:v>alta</x:v>
      </x:c>
      <x:c r="W7" s="57" t="str">
        <x:v>Métodos</x:v>
      </x:c>
      <x:c r="X7" s="57" t="str">
        <x:v>fundamento de medición ordinal</x:v>
      </x:c>
      <x:c r="Y7" s="57" t="str">
        <x:v>medición_multidimensional</x:v>
      </x:c>
      <x:c r="Z7" s="57" t="str">
        <x:v>transversal</x:v>
      </x:c>
      <x:c r="AA7" s="57" t="str">
        <x:v>Las escalas ordinales exigen transparencia sobre reglas y límites inferenciales.</x:v>
      </x:c>
      <x:c r="AB7" s="57" t="str">
        <x:v>none; bibliographic evidence does not modify model parameters automatically</x:v>
      </x:c>
      <x:c r="AC7" s="57" t="str">
        <x:v>Support corpus for an original article; not a systematic-review outcome.</x:v>
      </x:c>
    </x:row>
    <x:row r="8" ht="15" hidden="0" customHeight="1">
      <x:c r="A8" s="58" t="str">
        <x:v>R000017</x:v>
      </x:c>
      <x:c r="B8" s="58" t="n">
        <x:v>1</x:v>
      </x:c>
      <x:c r="C8" s="58" t="str">
        <x:v>provisional_include</x:v>
      </x:c>
      <x:c r="D8" s="58" t="str">
        <x:v>An Ordinal, Concept-driven Approach to Measurement: The Lexical Scale</x:v>
      </x:c>
      <x:c r="E8" s="58" t="str">
        <x:v>John Gerring; Daniel Pemstein; Svend‐Erik Skaaning</x:v>
      </x:c>
      <x:c r="F8" s="58" t="n">
        <x:v>2018</x:v>
      </x:c>
      <x:c r="G8" s="58" t="str">
        <x:v>Sociological Methods &amp; Research</x:v>
      </x:c>
      <x:c r="H8" s="58" t="str">
        <x:v>openalex</x:v>
      </x:c>
      <x:c r="I8" s="58" t="str">
        <x:v>module_C_en</x:v>
      </x:c>
      <x:c r="J8" s="58" t="str">
        <x:v>10.1177/0049124118782531</x:v>
      </x:c>
      <x:c r="K8" s="58" t="str">
        <x:v>https://openalex.org/W2882834800</x:v>
      </x:c>
      <x:c r="L8" s="58" t="str">
        <x:v>https://journals.sagepub.com/doi/pdf/10.1177/0049124118782531</x:v>
      </x:c>
      <x:c r="M8" s="58" t="str">
        <x:v>retrieved</x:v>
      </x:c>
      <x:c r="N8" s="58" t="str">
        <x:v>drive_open_access</x:v>
      </x:c>
      <x:c r="O8" s="58" t="str">
        <x:v>Google Drive OA folder; local extraction drive_26.txt</x:v>
      </x:c>
      <x:c r="P8" s="58" t="str">
        <x:v>passed</x:v>
      </x:c>
      <x:c r="Q8" s="58" t="str">
        <x:v>yes</x:v>
      </x:c>
      <x:c r="R8" s="58" t="str">
        <x:v>eligible</x:v>
      </x:c>
      <x:c r="S8" s="58" t="str">
        <x:v>included</x:v>
      </x:c>
      <x:c r="T8" s="58"/>
      <x:c r="U8" s="58" t="str">
        <x:v>METHOD_RELEVANCE</x:v>
      </x:c>
      <x:c r="V8" s="58" t="str">
        <x:v>alta</x:v>
      </x:c>
      <x:c r="W8" s="58" t="str">
        <x:v>Métodos y limitaciones</x:v>
      </x:c>
      <x:c r="X8" s="58" t="str">
        <x:v>validez de escalas democráticas</x:v>
      </x:c>
      <x:c r="Y8" s="58" t="str">
        <x:v>medición_multidimensional</x:v>
      </x:c>
      <x:c r="Z8" s="58" t="str">
        <x:v>transversal</x:v>
      </x:c>
      <x:c r="AA8" s="58" t="str">
        <x:v>La construcción de escalas democráticas requiere coherencia conceptual y comparabilidad.</x:v>
      </x:c>
      <x:c r="AB8" s="58" t="str">
        <x:v>none; bibliographic evidence does not modify model parameters automatically</x:v>
      </x:c>
      <x:c r="AC8" s="58" t="str">
        <x:v>Support corpus for an original article; not a systematic-review outcome.</x:v>
      </x:c>
    </x:row>
    <x:row r="9" ht="15" hidden="0" customHeight="1">
      <x:c r="A9" s="57" t="str">
        <x:v>R000019</x:v>
      </x:c>
      <x:c r="B9" s="57" t="n">
        <x:v>1</x:v>
      </x:c>
      <x:c r="C9" s="57" t="str">
        <x:v>provisional_include</x:v>
      </x:c>
      <x:c r="D9" s="57" t="str">
        <x:v>Quality Assessment of the Academic Freedom Index: Strengths, Weaknesses, and How Best to Use It</x:v>
      </x:c>
      <x:c r="E9" s="57" t="str">
        <x:v>Lars Lott; Janika Spannagel</x:v>
      </x:c>
      <x:c r="F9" s="57" t="n">
        <x:v>2025</x:v>
      </x:c>
      <x:c r="G9" s="57" t="str">
        <x:v>Perspectives on Politics</x:v>
      </x:c>
      <x:c r="H9" s="57" t="str">
        <x:v>openalex</x:v>
      </x:c>
      <x:c r="I9" s="57" t="str">
        <x:v>module_C_en</x:v>
      </x:c>
      <x:c r="J9" s="57" t="str">
        <x:v>10.1017/s1537592724001968</x:v>
      </x:c>
      <x:c r="K9" s="57" t="str">
        <x:v>https://openalex.org/W4407763555</x:v>
      </x:c>
      <x:c r="L9" s="57" t="str">
        <x:v>https://www.cambridge.org/core/services/aop-cambridge-core/content/view/66A24D272BAC6A6191BED41942691ACD/S1537592724001968a.pdf/div-class-title-quality-assessment-of-the-academic-freedom-index-strengths-weaknesses-and-how-best-to-use-it-div.pdf</x:v>
      </x:c>
      <x:c r="M9" s="57" t="str">
        <x:v>retrieved</x:v>
      </x:c>
      <x:c r="N9" s="57" t="str">
        <x:v>drive_open_access</x:v>
      </x:c>
      <x:c r="O9" s="57" t="str">
        <x:v>Google Drive OA folder; local extraction drive_06.txt</x:v>
      </x:c>
      <x:c r="P9" s="57" t="str">
        <x:v>passed</x:v>
      </x:c>
      <x:c r="Q9" s="57" t="str">
        <x:v>yes</x:v>
      </x:c>
      <x:c r="R9" s="57" t="str">
        <x:v>eligible</x:v>
      </x:c>
      <x:c r="S9" s="57" t="str">
        <x:v>included</x:v>
      </x:c>
      <x:c r="T9" s="57"/>
      <x:c r="U9" s="57" t="str">
        <x:v>MMAT_2018</x:v>
      </x:c>
      <x:c r="V9" s="57" t="str">
        <x:v>alta</x:v>
      </x:c>
      <x:c r="W9" s="57" t="str">
        <x:v>Métodos y limitaciones</x:v>
      </x:c>
      <x:c r="X9" s="57" t="str">
        <x:v>calidad y cobertura de índices</x:v>
      </x:c>
      <x:c r="Y9" s="57" t="str">
        <x:v>medición_multidimensional</x:v>
      </x:c>
      <x:c r="Z9" s="57" t="str">
        <x:v>transversal</x:v>
      </x:c>
      <x:c r="AA9" s="57" t="str">
        <x:v>Los índices comparados deben declarar cobertura, agregación e incertidumbre.</x:v>
      </x:c>
      <x:c r="AB9" s="57" t="str">
        <x:v>none; bibliographic evidence does not modify model parameters automatically</x:v>
      </x:c>
      <x:c r="AC9" s="57" t="str">
        <x:v>Support corpus for an original article; not a systematic-review outcome.</x:v>
      </x:c>
    </x:row>
    <x:row r="10" ht="15" hidden="0" customHeight="1">
      <x:c r="A10" s="58" t="str">
        <x:v>R000030</x:v>
      </x:c>
      <x:c r="B10" s="58" t="n">
        <x:v>1</x:v>
      </x:c>
      <x:c r="C10" s="58" t="str">
        <x:v>provisional_include</x:v>
      </x:c>
      <x:c r="D10" s="58" t="str">
        <x:v>Estabilidad política y su impacto en las exportaciones de los países andinos miembros de la ALADI durante los años de 2001 al 2023</x:v>
      </x:c>
      <x:c r="E10" s="58" t="str">
        <x:v>Denisse Angie Chuco Torres; Yovanna Katherine Sanchez Oropeza</x:v>
      </x:c>
      <x:c r="F10" s="58" t="n">
        <x:v>2025</x:v>
      </x:c>
      <x:c r="G10" s="58" t="str">
        <x:v>Universidad Peruana de Ciencias Aplicadas (UPC)</x:v>
      </x:c>
      <x:c r="H10" s="58" t="str">
        <x:v>openalex</x:v>
      </x:c>
      <x:c r="I10" s="58" t="str">
        <x:v>module_C_es</x:v>
      </x:c>
      <x:c r="J10" s="58" t="str">
        <x:v>10.19083/tesis/687019</x:v>
      </x:c>
      <x:c r="K10" s="58" t="str">
        <x:v>https://openalex.org/W7142941161</x:v>
      </x:c>
      <x:c r="L10" s="58" t="str">
        <x:v>https://repositorioacademico.upc.edu.pe/bitstream/10757/687019/1/Chuco_TD.pdf</x:v>
      </x:c>
      <x:c r="M10" s="58" t="str">
        <x:v>retrieved</x:v>
      </x:c>
      <x:c r="N10" s="58" t="str">
        <x:v>drive_open_access</x:v>
      </x:c>
      <x:c r="O10" s="58" t="str">
        <x:v>Google Drive OA folder; local extraction drive_18.txt</x:v>
      </x:c>
      <x:c r="P10" s="58" t="str">
        <x:v>passed</x:v>
      </x:c>
      <x:c r="Q10" s="58" t="str">
        <x:v>yes</x:v>
      </x:c>
      <x:c r="R10" s="58" t="str">
        <x:v>excluded_after_fulltext</x:v>
      </x:c>
      <x:c r="S10" s="58" t="str">
        <x:v>excluded</x:v>
      </x:c>
      <x:c r="T10" s="58" t="str">
        <x:v>EXC_NO_DIRECT_CONTRIBUTION_TO_ORIGINAL_ARTICLE: Asociación macroeconómica sin aporte directo al problema democrático del manuscrito.</x:v>
      </x:c>
      <x:c r="U10" s="58"/>
      <x:c r="V10" s="58"/>
      <x:c r="W10" s="58"/>
      <x:c r="X10" s="58"/>
      <x:c r="Y10" s="58"/>
      <x:c r="Z10" s="58"/>
      <x:c r="AA10" s="58"/>
      <x:c r="AB10" s="58" t="str">
        <x:v>none; bibliographic evidence does not modify model parameters automatically</x:v>
      </x:c>
      <x:c r="AC10" s="58" t="str">
        <x:v>Support corpus for an original article; not a systematic-review outcome.</x:v>
      </x:c>
    </x:row>
    <x:row r="11" ht="15" hidden="0" customHeight="1">
      <x:c r="A11" s="57" t="str">
        <x:v>R000048</x:v>
      </x:c>
      <x:c r="B11" s="57" t="n">
        <x:v>1</x:v>
      </x:c>
      <x:c r="C11" s="57" t="str">
        <x:v>provisional_include</x:v>
      </x:c>
      <x:c r="D11" s="57" t="str">
        <x:v>Peru: democratic advances and democratic backsliding amid formidable challenges</x:v>
      </x:c>
      <x:c r="E11" s="57" t="str">
        <x:v>Cynthia McClintock</x:v>
      </x:c>
      <x:c r="F11" s="57" t="n">
        <x:v>2026</x:v>
      </x:c>
      <x:c r="G11" s="57" t="str">
        <x:v>Handbook of Latin American Politics</x:v>
      </x:c>
      <x:c r="H11" s="57" t="str">
        <x:v>crossref</x:v>
      </x:c>
      <x:c r="I11" s="57" t="str">
        <x:v>module_A_en</x:v>
      </x:c>
      <x:c r="J11" s="57" t="str">
        <x:v>10.4337/9781035325559.00083</x:v>
      </x:c>
      <x:c r="K11" s="57" t="str">
        <x:v>https://doi.org/10.4337/9781035325559.00083</x:v>
      </x:c>
      <x:c r="L11" s="57" t="str">
        <x:v>https://doi.org/10.4337/9781035325559.00083</x:v>
      </x:c>
      <x:c r="M11" s="57" t="str">
        <x:v>not_retrieved</x:v>
      </x:c>
      <x:c r="N11" s="57" t="str">
        <x:v>abstract_or_metadata_only</x:v>
      </x:c>
      <x:c r="O11" s="57" t="str">
        <x:v>Resumen o metadatos localizados, pero el texto completo legal no estuvo disponible.</x:v>
      </x:c>
      <x:c r="P11" s="57" t="str">
        <x:v>not_applicable</x:v>
      </x:c>
      <x:c r="Q11" s="57" t="str">
        <x:v>no</x:v>
      </x:c>
      <x:c r="R11" s="57" t="str">
        <x:v>not_assessed_fulltext</x:v>
      </x:c>
      <x:c r="S11" s="57" t="str">
        <x:v>not_retrieved</x:v>
      </x:c>
      <x:c r="T11" s="57" t="str">
        <x:v>NR_FULLTEXT_UNAVAILABLE</x:v>
      </x:c>
      <x:c r="U11" s="57"/>
      <x:c r="V11" s="57"/>
      <x:c r="W11" s="57"/>
      <x:c r="X11" s="57"/>
      <x:c r="Y11" s="57"/>
      <x:c r="Z11" s="57"/>
      <x:c r="AA11" s="57"/>
      <x:c r="AB11" s="57" t="str">
        <x:v>none; bibliographic evidence does not modify model parameters automatically</x:v>
      </x:c>
      <x:c r="AC11" s="57" t="str">
        <x:v>Support corpus for an original article; not a systematic-review outcome.</x:v>
      </x:c>
    </x:row>
    <x:row r="12" ht="15" hidden="0" customHeight="1">
      <x:c r="A12" s="58" t="str">
        <x:v>R000057</x:v>
      </x:c>
      <x:c r="B12" s="58" t="n">
        <x:v>1</x:v>
      </x:c>
      <x:c r="C12" s="58" t="str">
        <x:v>provisional_include</x:v>
      </x:c>
      <x:c r="D12" s="58" t="str">
        <x:v>Populismo y retroceso democrático en América Latina</x:v>
      </x:c>
      <x:c r="E12" s="58" t="str">
        <x:v>Alejandra Armesto</x:v>
      </x:c>
      <x:c r="F12" s="58" t="n">
        <x:v>2025</x:v>
      </x:c>
      <x:c r="G12" s="58" t="str">
        <x:v>Revista Latinoamericana sobre Democracia</x:v>
      </x:c>
      <x:c r="H12" s="58" t="str">
        <x:v>crossref</x:v>
      </x:c>
      <x:c r="I12" s="58" t="str">
        <x:v>module_A_es</x:v>
      </x:c>
      <x:c r="J12" s="58" t="str">
        <x:v>10.22201/iis.rld.2025.00.10</x:v>
      </x:c>
      <x:c r="K12" s="58" t="str">
        <x:v>https://doi.org/10.22201/iis.rld.2025.00.10</x:v>
      </x:c>
      <x:c r="L12" s="58" t="str">
        <x:v>https://www.rld.sociales.unam.mx/index.php/relade/article/download/10/5</x:v>
      </x:c>
      <x:c r="M12" s="58" t="str">
        <x:v>retrieved</x:v>
      </x:c>
      <x:c r="N12" s="58" t="str">
        <x:v>drive_open_access</x:v>
      </x:c>
      <x:c r="O12" s="58" t="str">
        <x:v>Google Drive OA folder; local extraction drive_10.txt</x:v>
      </x:c>
      <x:c r="P12" s="58" t="str">
        <x:v>passed</x:v>
      </x:c>
      <x:c r="Q12" s="58" t="str">
        <x:v>yes</x:v>
      </x:c>
      <x:c r="R12" s="58" t="str">
        <x:v>eligible</x:v>
      </x:c>
      <x:c r="S12" s="58" t="str">
        <x:v>included</x:v>
      </x:c>
      <x:c r="T12" s="58"/>
      <x:c r="U12" s="58" t="str">
        <x:v>MMAT_2018</x:v>
      </x:c>
      <x:c r="V12" s="58" t="str">
        <x:v>alta</x:v>
      </x:c>
      <x:c r="W12" s="58" t="str">
        <x:v>Introducción y discusión</x:v>
      </x:c>
      <x:c r="X12" s="58" t="str">
        <x:v>mecanismo populismo-retroceso</x:v>
      </x:c>
      <x:c r="Y12" s="58" t="str">
        <x:v>cultura_politica</x:v>
      </x:c>
      <x:c r="Z12" s="58" t="str">
        <x:v>restrictivo</x:v>
      </x:c>
      <x:c r="AA12" s="58" t="str">
        <x:v>El populismo puede articularse con procesos graduales de retroceso democrático.</x:v>
      </x:c>
      <x:c r="AB12" s="58" t="str">
        <x:v>none; bibliographic evidence does not modify model parameters automatically</x:v>
      </x:c>
      <x:c r="AC12" s="58" t="str">
        <x:v>Support corpus for an original article; not a systematic-review outcome.</x:v>
      </x:c>
    </x:row>
    <x:row r="13" ht="15" hidden="0" customHeight="1">
      <x:c r="A13" s="57" t="str">
        <x:v>R000064</x:v>
      </x:c>
      <x:c r="B13" s="57" t="n">
        <x:v>1</x:v>
      </x:c>
      <x:c r="C13" s="57" t="str">
        <x:v>provisional_include</x:v>
      </x:c>
      <x:c r="D13" s="57" t="str">
        <x:v>La militarización de la política democrática en América Latina y sus efectos sobre la calidad del régimen</x:v>
      </x:c>
      <x:c r="E13" s="57" t="str">
        <x:v>Alexander Arciniegas-Carreño; Luis Antonio González-Tule; João Carlos Amoroso Botelho</x:v>
      </x:c>
      <x:c r="F13" s="57" t="n">
        <x:v>2025</x:v>
      </x:c>
      <x:c r="G13" s="57" t="str">
        <x:v>Íconos - Revista de Ciencias Sociales</x:v>
      </x:c>
      <x:c r="H13" s="57" t="str">
        <x:v>crossref</x:v>
      </x:c>
      <x:c r="I13" s="57" t="str">
        <x:v>module_A_es</x:v>
      </x:c>
      <x:c r="J13" s="57" t="str">
        <x:v>10.17141/iconos.83.2025.6607</x:v>
      </x:c>
      <x:c r="K13" s="57" t="str">
        <x:v>https://doi.org/10.17141/iconos.83.2025.6607</x:v>
      </x:c>
      <x:c r="L13" s="57" t="str">
        <x:v>https://iconos.flacsoandes.edu.ec/index.php/iconos/article/download/6607/4800</x:v>
      </x:c>
      <x:c r="M13" s="57" t="str">
        <x:v>retrieved</x:v>
      </x:c>
      <x:c r="N13" s="57" t="str">
        <x:v>drive_open_access</x:v>
      </x:c>
      <x:c r="O13" s="57" t="str">
        <x:v>Google Drive OA folder; local extraction drive_15.txt</x:v>
      </x:c>
      <x:c r="P13" s="57" t="str">
        <x:v>passed</x:v>
      </x:c>
      <x:c r="Q13" s="57" t="str">
        <x:v>yes</x:v>
      </x:c>
      <x:c r="R13" s="57" t="str">
        <x:v>eligible</x:v>
      </x:c>
      <x:c r="S13" s="57" t="str">
        <x:v>included</x:v>
      </x:c>
      <x:c r="T13" s="57"/>
      <x:c r="U13" s="57" t="str">
        <x:v>MMAT_2018</x:v>
      </x:c>
      <x:c r="V13" s="57" t="str">
        <x:v>alta</x:v>
      </x:c>
      <x:c r="W13" s="57" t="str">
        <x:v>Discusión</x:v>
      </x:c>
      <x:c r="X13" s="57" t="str">
        <x:v>militarización y control civil</x:v>
      </x:c>
      <x:c r="Y13" s="57" t="str">
        <x:v>funcionamiento_gobierno</x:v>
      </x:c>
      <x:c r="Z13" s="57" t="str">
        <x:v>restrictivo</x:v>
      </x:c>
      <x:c r="AA13" s="57" t="str">
        <x:v>La militarización amplía riesgos para controles civiles y rendición de cuentas.</x:v>
      </x:c>
      <x:c r="AB13" s="57" t="str">
        <x:v>none; bibliographic evidence does not modify model parameters automatically</x:v>
      </x:c>
      <x:c r="AC13" s="57" t="str">
        <x:v>Support corpus for an original article; not a systematic-review outcome.</x:v>
      </x:c>
    </x:row>
    <x:row r="14" ht="15" hidden="0" customHeight="1">
      <x:c r="A14" s="58" t="str">
        <x:v>R000066</x:v>
      </x:c>
      <x:c r="B14" s="58" t="n">
        <x:v>1</x:v>
      </x:c>
      <x:c r="C14" s="58" t="str">
        <x:v>provisional_include</x:v>
      </x:c>
      <x:c r="D14" s="58" t="str">
        <x:v>El fortalecimiento de la calidad de la democracia en América Latina. Una propuesta a partir de la gobernanza democrática</x:v>
      </x:c>
      <x:c r="E14" s="58" t="str">
        <x:v>Jose Manuel Ledezma Rosas; Enoc Francisco Morán Torres</x:v>
      </x:c>
      <x:c r="F14" s="58" t="n">
        <x:v>2020</x:v>
      </x:c>
      <x:c r="G14" s="58" t="str">
        <x:v>Revista Eurolatinoamericana de Derecho Administrativo</x:v>
      </x:c>
      <x:c r="H14" s="58" t="str">
        <x:v>crossref</x:v>
      </x:c>
      <x:c r="I14" s="58" t="str">
        <x:v>module_A_es</x:v>
      </x:c>
      <x:c r="J14" s="58" t="str">
        <x:v>10.14409/redoeda.v7i2.9721</x:v>
      </x:c>
      <x:c r="K14" s="58" t="str">
        <x:v>https://doi.org/10.14409/redoeda.v7i2.9721</x:v>
      </x:c>
      <x:c r="L14" s="58" t="str">
        <x:v>https://bibliotecavirtual.unl.edu.ar/publicaciones/index.php/Redoeda/article/download/9721/13557</x:v>
      </x:c>
      <x:c r="M14" s="58" t="str">
        <x:v>retrieved</x:v>
      </x:c>
      <x:c r="N14" s="58" t="str">
        <x:v>drive_open_access</x:v>
      </x:c>
      <x:c r="O14" s="58" t="str">
        <x:v>Google Drive OA folder; local extraction drive_21.txt</x:v>
      </x:c>
      <x:c r="P14" s="58" t="str">
        <x:v>passed</x:v>
      </x:c>
      <x:c r="Q14" s="58" t="str">
        <x:v>yes</x:v>
      </x:c>
      <x:c r="R14" s="58" t="str">
        <x:v>eligible</x:v>
      </x:c>
      <x:c r="S14" s="58" t="str">
        <x:v>included</x:v>
      </x:c>
      <x:c r="T14" s="58"/>
      <x:c r="U14" s="58" t="str">
        <x:v>MMAT_2018</x:v>
      </x:c>
      <x:c r="V14" s="58" t="str">
        <x:v>moderada</x:v>
      </x:c>
      <x:c r="W14" s="58" t="str">
        <x:v>Introducción y discusión</x:v>
      </x:c>
      <x:c r="X14" s="58" t="str">
        <x:v>gobernanza democrática</x:v>
      </x:c>
      <x:c r="Y14" s="58" t="str">
        <x:v>funcionamiento_gobierno</x:v>
      </x:c>
      <x:c r="Z14" s="58" t="str">
        <x:v>recuperacion</x:v>
      </x:c>
      <x:c r="AA14" s="58" t="str">
        <x:v>La gobernanza democrática depende de instituciones eficaces y responsables.</x:v>
      </x:c>
      <x:c r="AB14" s="58" t="str">
        <x:v>none; bibliographic evidence does not modify model parameters automatically</x:v>
      </x:c>
      <x:c r="AC14" s="58" t="str">
        <x:v>Support corpus for an original article; not a systematic-review outcome.</x:v>
      </x:c>
    </x:row>
    <x:row r="15" ht="15" hidden="0" customHeight="1">
      <x:c r="A15" s="57" t="str">
        <x:v>R000070</x:v>
      </x:c>
      <x:c r="B15" s="57" t="n">
        <x:v>1</x:v>
      </x:c>
      <x:c r="C15" s="57" t="str">
        <x:v>provisional_include</x:v>
      </x:c>
      <x:c r="D15" s="57" t="str">
        <x:v>Perspectivas sobre desenvolvimento democrático e qualidade da democracia: Brasil e América Latina</x:v>
      </x:c>
      <x:c r="E15" s="57" t="str">
        <x:v>Maria Celina D’Araujo; Guilherme Leite Ribeiro</x:v>
      </x:c>
      <x:c r="F15" s="57" t="n">
        <x:v>2016</x:v>
      </x:c>
      <x:c r="G15" s="57" t="str">
        <x:v>Sociedade e Cultura</x:v>
      </x:c>
      <x:c r="H15" s="57" t="str">
        <x:v>crossref</x:v>
      </x:c>
      <x:c r="I15" s="57" t="str">
        <x:v>module_A_pt</x:v>
      </x:c>
      <x:c r="J15" s="57" t="str">
        <x:v>10.5216/sec.v18i2.42375</x:v>
      </x:c>
      <x:c r="K15" s="57" t="str">
        <x:v>https://doi.org/10.5216/sec.v18i2.42375</x:v>
      </x:c>
      <x:c r="L15" s="57" t="str">
        <x:v>https://www.revistas.ufg.br/fchf/article/download/42375/21335</x:v>
      </x:c>
      <x:c r="M15" s="57" t="str">
        <x:v>retrieved</x:v>
      </x:c>
      <x:c r="N15" s="57" t="str">
        <x:v>drive_open_access</x:v>
      </x:c>
      <x:c r="O15" s="57" t="str">
        <x:v>Google Drive OA folder; local extraction drive_11.txt</x:v>
      </x:c>
      <x:c r="P15" s="57" t="str">
        <x:v>passed</x:v>
      </x:c>
      <x:c r="Q15" s="57" t="str">
        <x:v>yes</x:v>
      </x:c>
      <x:c r="R15" s="57" t="str">
        <x:v>eligible</x:v>
      </x:c>
      <x:c r="S15" s="57" t="str">
        <x:v>included</x:v>
      </x:c>
      <x:c r="T15" s="57"/>
      <x:c r="U15" s="57" t="str">
        <x:v>MMAT_2018</x:v>
      </x:c>
      <x:c r="V15" s="57" t="str">
        <x:v>alta</x:v>
      </x:c>
      <x:c r="W15" s="57" t="str">
        <x:v>Introducción y discusión</x:v>
      </x:c>
      <x:c r="X15" s="57" t="str">
        <x:v>enfoque multidimensional</x:v>
      </x:c>
      <x:c r="Y15" s="57" t="str">
        <x:v>medición_multidimensional</x:v>
      </x:c>
      <x:c r="Z15" s="57" t="str">
        <x:v>transversal</x:v>
      </x:c>
      <x:c r="AA15" s="57" t="str">
        <x:v>La calidad democrática debe interpretarse como un constructo multidimensional.</x:v>
      </x:c>
      <x:c r="AB15" s="57" t="str">
        <x:v>none; bibliographic evidence does not modify model parameters automatically</x:v>
      </x:c>
      <x:c r="AC15" s="57" t="str">
        <x:v>Support corpus for an original article; not a systematic-review outcome.</x:v>
      </x:c>
    </x:row>
    <x:row r="16" ht="15" hidden="0" customHeight="1">
      <x:c r="A16" s="58" t="str">
        <x:v>R000093</x:v>
      </x:c>
      <x:c r="B16" s="58" t="n">
        <x:v>1</x:v>
      </x:c>
      <x:c r="C16" s="58" t="str">
        <x:v>provisional_include</x:v>
      </x:c>
      <x:c r="D16" s="58" t="str">
        <x:v>Cultura política y construcción de ciudadanía: hacia una Dirección de Participación Electoral en el Gobierno del Estado de México</x:v>
      </x:c>
      <x:c r="E16" s="58" t="str">
        <x:v>ERICK JOSUE PEREZ DIAZ</x:v>
      </x:c>
      <x:c r="F16" s="58" t="n">
        <x:v>2025</x:v>
      </x:c>
      <x:c r="G16" s="58" t="str">
        <x:v>Espacios Públicos</x:v>
      </x:c>
      <x:c r="H16" s="58" t="str">
        <x:v>crossref</x:v>
      </x:c>
      <x:c r="I16" s="58" t="str">
        <x:v>module_B_es</x:v>
      </x:c>
      <x:c r="J16" s="58" t="str">
        <x:v>10.36677/espaciospublicos.v26i64.24832</x:v>
      </x:c>
      <x:c r="K16" s="58" t="str">
        <x:v>https://doi.org/10.36677/espaciospublicos.v26i64.24832</x:v>
      </x:c>
      <x:c r="L16" s="58" t="str">
        <x:v>https://doi.org/10.36677/espaciospublicos.v26i64.24832</x:v>
      </x:c>
      <x:c r="M16" s="58" t="str">
        <x:v>retrieved</x:v>
      </x:c>
      <x:c r="N16" s="58" t="str">
        <x:v>drive_open_access</x:v>
      </x:c>
      <x:c r="O16" s="58" t="str">
        <x:v>Google Drive OA folder; local extraction drive_22.txt</x:v>
      </x:c>
      <x:c r="P16" s="58" t="str">
        <x:v>passed</x:v>
      </x:c>
      <x:c r="Q16" s="58" t="str">
        <x:v>yes</x:v>
      </x:c>
      <x:c r="R16" s="58" t="str">
        <x:v>eligible</x:v>
      </x:c>
      <x:c r="S16" s="58" t="str">
        <x:v>included</x:v>
      </x:c>
      <x:c r="T16" s="58"/>
      <x:c r="U16" s="58" t="str">
        <x:v>MMAT_2018</x:v>
      </x:c>
      <x:c r="V16" s="58" t="str">
        <x:v>moderada</x:v>
      </x:c>
      <x:c r="W16" s="58" t="str">
        <x:v>Discusión</x:v>
      </x:c>
      <x:c r="X16" s="58" t="str">
        <x:v>cultura política y ciudadanía</x:v>
      </x:c>
      <x:c r="Y16" s="58" t="str">
        <x:v>cultura_politica</x:v>
      </x:c>
      <x:c r="Z16" s="58" t="str">
        <x:v>continuidad</x:v>
      </x:c>
      <x:c r="AA16" s="58" t="str">
        <x:v>La participación y cultura cívica condicionan la sostenibilidad democrática.</x:v>
      </x:c>
      <x:c r="AB16" s="58" t="str">
        <x:v>none; bibliographic evidence does not modify model parameters automatically</x:v>
      </x:c>
      <x:c r="AC16" s="58" t="str">
        <x:v>Support corpus for an original article; not a systematic-review outcome.</x:v>
      </x:c>
    </x:row>
    <x:row r="17" ht="15" hidden="0" customHeight="1">
      <x:c r="A17" s="57" t="str">
        <x:v>R000098</x:v>
      </x:c>
      <x:c r="B17" s="57" t="n">
        <x:v>1</x:v>
      </x:c>
      <x:c r="C17" s="57" t="str">
        <x:v>provisional_include</x:v>
      </x:c>
      <x:c r="D17" s="57" t="str">
        <x:v>Cuando la integridad electoral está en riesgo: democracia, fraude e instituciones en América Latina</x:v>
      </x:c>
      <x:c r="E17" s="57" t="str">
        <x:v>Danillo Rafael Batista</x:v>
      </x:c>
      <x:c r="F17" s="57" t="n">
        <x:v>2024</x:v>
      </x:c>
      <x:c r="G17" s="57" t="str">
        <x:v>Revista Uruguaya de Ciencia Política</x:v>
      </x:c>
      <x:c r="H17" s="57" t="str">
        <x:v>crossref</x:v>
      </x:c>
      <x:c r="I17" s="57" t="str">
        <x:v>module_B_es</x:v>
      </x:c>
      <x:c r="J17" s="57" t="str">
        <x:v>10.26851/rucp.33.10</x:v>
      </x:c>
      <x:c r="K17" s="57" t="str">
        <x:v>https://doi.org/10.26851/rucp.33.10</x:v>
      </x:c>
      <x:c r="L17" s="57" t="str">
        <x:v>https://rucp.cienciassociales.edu.uy/index.php/rucp/article/download/661/432</x:v>
      </x:c>
      <x:c r="M17" s="57" t="str">
        <x:v>retrieved</x:v>
      </x:c>
      <x:c r="N17" s="57" t="str">
        <x:v>legal_open_web</x:v>
      </x:c>
      <x:c r="O17" s="57" t="str">
        <x:v>publisher_OA_pdf</x:v>
      </x:c>
      <x:c r="P17" s="57" t="str">
        <x:v>passed</x:v>
      </x:c>
      <x:c r="Q17" s="57" t="str">
        <x:v>yes</x:v>
      </x:c>
      <x:c r="R17" s="57" t="str">
        <x:v>eligible</x:v>
      </x:c>
      <x:c r="S17" s="57" t="str">
        <x:v>included</x:v>
      </x:c>
      <x:c r="T17" s="57"/>
      <x:c r="U17" s="57" t="str">
        <x:v>MMAT_2018</x:v>
      </x:c>
      <x:c r="V17" s="57" t="str">
        <x:v>alta</x:v>
      </x:c>
      <x:c r="W17" s="57" t="str">
        <x:v>Métodos y discusión</x:v>
      </x:c>
      <x:c r="X17" s="57" t="str">
        <x:v>integridad electoral</x:v>
      </x:c>
      <x:c r="Y17" s="57" t="str">
        <x:v>proceso_electoral</x:v>
      </x:c>
      <x:c r="Z17" s="57" t="str">
        <x:v>transversal</x:v>
      </x:c>
      <x:c r="AA17" s="57" t="str">
        <x:v>La integridad electoral es una dimensión diferenciada de la calidad democrática.</x:v>
      </x:c>
      <x:c r="AB17" s="57" t="str">
        <x:v>none; bibliographic evidence does not modify model parameters automatically</x:v>
      </x:c>
      <x:c r="AC17" s="57" t="str">
        <x:v>Support corpus for an original article; not a systematic-review outcome.</x:v>
      </x:c>
    </x:row>
    <x:row r="18" ht="15" hidden="0" customHeight="1">
      <x:c r="A18" s="58" t="str">
        <x:v>R000117</x:v>
      </x:c>
      <x:c r="B18" s="58" t="n">
        <x:v>1</x:v>
      </x:c>
      <x:c r="C18" s="58" t="str">
        <x:v>provisional_include</x:v>
      </x:c>
      <x:c r="D18" s="58" t="str">
        <x:v>Propuesta de un Índice para la Medición de Democracia Económica en Costa Rica (Proposal of an index to measure economic democracy in Costa Rica)</x:v>
      </x:c>
      <x:c r="E18" s="58" t="str">
        <x:v>Lizette Brenes Bonilla; Ligia Bermúdez Mesén</x:v>
      </x:c>
      <x:c r="F18" s="58" t="n">
        <x:v>2012</x:v>
      </x:c>
      <x:c r="G18" s="58" t="str">
        <x:v>TEC Empresarial</x:v>
      </x:c>
      <x:c r="H18" s="58" t="str">
        <x:v>crossref</x:v>
      </x:c>
      <x:c r="I18" s="58" t="str">
        <x:v>module_C_es</x:v>
      </x:c>
      <x:c r="J18" s="58" t="str">
        <x:v>10.18845/te.v6i1.581</x:v>
      </x:c>
      <x:c r="K18" s="58" t="str">
        <x:v>https://doi.org/10.18845/te.v6i1.581</x:v>
      </x:c>
      <x:c r="L18" s="58" t="str">
        <x:v>https://revistas.tec.ac.cr/index.php/tec_empresarial/article/download/581/506</x:v>
      </x:c>
      <x:c r="M18" s="58" t="str">
        <x:v>retrieved</x:v>
      </x:c>
      <x:c r="N18" s="58" t="str">
        <x:v>drive_open_access</x:v>
      </x:c>
      <x:c r="O18" s="58" t="str">
        <x:v>Google Drive OA folder; local extraction drive_08.txt</x:v>
      </x:c>
      <x:c r="P18" s="58" t="str">
        <x:v>passed</x:v>
      </x:c>
      <x:c r="Q18" s="58" t="str">
        <x:v>yes</x:v>
      </x:c>
      <x:c r="R18" s="58" t="str">
        <x:v>excluded_after_fulltext</x:v>
      </x:c>
      <x:c r="S18" s="58" t="str">
        <x:v>excluded</x:v>
      </x:c>
      <x:c r="T18" s="58" t="str">
        <x:v>EXC_WRONG_CONSTRUCT_OR_OUTCOME: El índice analizado mide democracia económica, no calidad democrática ni funcionamiento gubernamental.</x:v>
      </x:c>
      <x:c r="U18" s="58"/>
      <x:c r="V18" s="58"/>
      <x:c r="W18" s="58"/>
      <x:c r="X18" s="58"/>
      <x:c r="Y18" s="58"/>
      <x:c r="Z18" s="58"/>
      <x:c r="AA18" s="58"/>
      <x:c r="AB18" s="58" t="str">
        <x:v>none; bibliographic evidence does not modify model parameters automatically</x:v>
      </x:c>
      <x:c r="AC18" s="58" t="str">
        <x:v>Support corpus for an original article; not a systematic-review outcome.</x:v>
      </x:c>
    </x:row>
    <x:row r="19" ht="15" hidden="0" customHeight="1">
      <x:c r="A19" s="57" t="str">
        <x:v>R000127</x:v>
      </x:c>
      <x:c r="B19" s="57" t="n">
        <x:v>1</x:v>
      </x:c>
      <x:c r="C19" s="57" t="str">
        <x:v>provisional_include</x:v>
      </x:c>
      <x:c r="D19" s="57" t="str">
        <x:v>Foresight, scenarios and scenario planning</x:v>
      </x:c>
      <x:c r="E19" s="57"/>
      <x:c r="F19" s="57" t="n">
        <x:v>2008</x:v>
      </x:c>
      <x:c r="G19" s="57" t="str">
        <x:v>Foresight</x:v>
      </x:c>
      <x:c r="H19" s="57" t="str">
        <x:v>crossref</x:v>
      </x:c>
      <x:c r="I19" s="57" t="str">
        <x:v>module_D_en</x:v>
      </x:c>
      <x:c r="J19" s="57" t="str">
        <x:v>10.4324/9780203894156-13</x:v>
      </x:c>
      <x:c r="K19" s="57" t="str">
        <x:v>https://doi.org/10.4324/9780203894156-13</x:v>
      </x:c>
      <x:c r="L19" s="57" t="str">
        <x:v>https://doi.org/10.4324/9780203894156-13</x:v>
      </x:c>
      <x:c r="M19" s="57" t="str">
        <x:v>not_retrieved</x:v>
      </x:c>
      <x:c r="N19" s="57" t="str">
        <x:v>abstract_or_metadata_only</x:v>
      </x:c>
      <x:c r="O19" s="57" t="str">
        <x:v>Resumen o metadatos localizados, pero el texto completo legal no estuvo disponible.</x:v>
      </x:c>
      <x:c r="P19" s="57" t="str">
        <x:v>not_applicable</x:v>
      </x:c>
      <x:c r="Q19" s="57" t="str">
        <x:v>no</x:v>
      </x:c>
      <x:c r="R19" s="57" t="str">
        <x:v>not_assessed_fulltext</x:v>
      </x:c>
      <x:c r="S19" s="57" t="str">
        <x:v>not_retrieved</x:v>
      </x:c>
      <x:c r="T19" s="57" t="str">
        <x:v>NR_FULLTEXT_UNAVAILABLE</x:v>
      </x:c>
      <x:c r="U19" s="57"/>
      <x:c r="V19" s="57"/>
      <x:c r="W19" s="57"/>
      <x:c r="X19" s="57"/>
      <x:c r="Y19" s="57"/>
      <x:c r="Z19" s="57"/>
      <x:c r="AA19" s="57"/>
      <x:c r="AB19" s="57" t="str">
        <x:v>none; bibliographic evidence does not modify model parameters automatically</x:v>
      </x:c>
      <x:c r="AC19" s="57" t="str">
        <x:v>Support corpus for an original article; not a systematic-review outcome.</x:v>
      </x:c>
    </x:row>
    <x:row r="20" ht="15" hidden="0" customHeight="1">
      <x:c r="A20" s="58" t="str">
        <x:v>R000173</x:v>
      </x:c>
      <x:c r="B20" s="58" t="n">
        <x:v>1</x:v>
      </x:c>
      <x:c r="C20" s="58" t="str">
        <x:v>provisional_include</x:v>
      </x:c>
      <x:c r="D20" s="58" t="str">
        <x:v>Elecciones Generales Perú 2021: claves para diseccionar las elecciones del Bicentenario</x:v>
      </x:c>
      <x:c r="E20" s="58" t="str">
        <x:v>Henry Ayala Abril</x:v>
      </x:c>
      <x:c r="F20" s="58" t="n">
        <x:v>2021</x:v>
      </x:c>
      <x:c r="G20" s="58" t="str">
        <x:v>Revista Elecciones</x:v>
      </x:c>
      <x:c r="H20" s="58" t="str">
        <x:v>crossref</x:v>
      </x:c>
      <x:c r="I20" s="58" t="str">
        <x:v>module_E_es</x:v>
      </x:c>
      <x:c r="J20" s="58" t="str">
        <x:v>10.53557/elecciones.2021.v20n21.14</x:v>
      </x:c>
      <x:c r="K20" s="58" t="str">
        <x:v>https://doi.org/10.53557/elecciones.2021.v20n21.14</x:v>
      </x:c>
      <x:c r="L20" s="58" t="str">
        <x:v>https://doi.org/10.53557/elecciones.2021.v20n21.14</x:v>
      </x:c>
      <x:c r="M20" s="58" t="str">
        <x:v>retrieved</x:v>
      </x:c>
      <x:c r="N20" s="58" t="str">
        <x:v>drive_open_access</x:v>
      </x:c>
      <x:c r="O20" s="58" t="str">
        <x:v>Google Drive OA folder; local extraction drive_20.txt</x:v>
      </x:c>
      <x:c r="P20" s="58" t="str">
        <x:v>passed</x:v>
      </x:c>
      <x:c r="Q20" s="58" t="str">
        <x:v>yes</x:v>
      </x:c>
      <x:c r="R20" s="58" t="str">
        <x:v>eligible</x:v>
      </x:c>
      <x:c r="S20" s="58" t="str">
        <x:v>included</x:v>
      </x:c>
      <x:c r="T20" s="58"/>
      <x:c r="U20" s="58" t="str">
        <x:v>MMAT_2018</x:v>
      </x:c>
      <x:c r="V20" s="58" t="str">
        <x:v>alta</x:v>
      </x:c>
      <x:c r="W20" s="58" t="str">
        <x:v>Resultados y discusión</x:v>
      </x:c>
      <x:c r="X20" s="58" t="str">
        <x:v>contexto electoral subnacional</x:v>
      </x:c>
      <x:c r="Y20" s="58" t="str">
        <x:v>proceso_electoral</x:v>
      </x:c>
      <x:c r="Z20" s="58" t="str">
        <x:v>continuidad</x:v>
      </x:c>
      <x:c r="AA20" s="58" t="str">
        <x:v>Las elecciones regionales y municipales aportan contexto a la trayectoria institucional reciente.</x:v>
      </x:c>
      <x:c r="AB20" s="58" t="str">
        <x:v>none; bibliographic evidence does not modify model parameters automatically</x:v>
      </x:c>
      <x:c r="AC20" s="58" t="str">
        <x:v>Support corpus for an original article; not a systematic-review outcome.</x:v>
      </x:c>
    </x:row>
    <x:row r="21" ht="15" hidden="0" customHeight="1">
      <x:c r="A21" s="57" t="str">
        <x:v>R000174</x:v>
      </x:c>
      <x:c r="B21" s="57" t="n">
        <x:v>1</x:v>
      </x:c>
      <x:c r="C21" s="57" t="str">
        <x:v>provisional_include</x:v>
      </x:c>
      <x:c r="D21" s="57" t="str">
        <x:v>Elecciones Internas Perú 2022: abriendo la “caja negra” de los datos electorales</x:v>
      </x:c>
      <x:c r="E21" s="57" t="str">
        <x:v>Narda Carranza Pinedo</x:v>
      </x:c>
      <x:c r="F21" s="57" t="n">
        <x:v>2022</x:v>
      </x:c>
      <x:c r="G21" s="57" t="str">
        <x:v>Revista Elecciones</x:v>
      </x:c>
      <x:c r="H21" s="57" t="str">
        <x:v>crossref</x:v>
      </x:c>
      <x:c r="I21" s="57" t="str">
        <x:v>module_E_es</x:v>
      </x:c>
      <x:c r="J21" s="57" t="str">
        <x:v>10.53557/elecciones.2022.v21n23.11</x:v>
      </x:c>
      <x:c r="K21" s="57" t="str">
        <x:v>https://doi.org/10.53557/elecciones.2022.v21n23.11</x:v>
      </x:c>
      <x:c r="L21" s="57" t="str">
        <x:v>https://revistas.onpe.gob.pe/index.php/elecciones/article/download/247/601</x:v>
      </x:c>
      <x:c r="M21" s="57" t="str">
        <x:v>retrieved</x:v>
      </x:c>
      <x:c r="N21" s="57" t="str">
        <x:v>drive_open_access</x:v>
      </x:c>
      <x:c r="O21" s="57" t="str">
        <x:v>Google Drive OA folder; local extraction drive_19.txt</x:v>
      </x:c>
      <x:c r="P21" s="57" t="str">
        <x:v>passed</x:v>
      </x:c>
      <x:c r="Q21" s="57" t="str">
        <x:v>yes</x:v>
      </x:c>
      <x:c r="R21" s="57" t="str">
        <x:v>eligible</x:v>
      </x:c>
      <x:c r="S21" s="57" t="str">
        <x:v>included</x:v>
      </x:c>
      <x:c r="T21" s="57"/>
      <x:c r="U21" s="57" t="str">
        <x:v>MMAT_2018</x:v>
      </x:c>
      <x:c r="V21" s="57" t="str">
        <x:v>alta</x:v>
      </x:c>
      <x:c r="W21" s="57" t="str">
        <x:v>Resultados y discusión</x:v>
      </x:c>
      <x:c r="X21" s="57" t="str">
        <x:v>contexto electoral nacional</x:v>
      </x:c>
      <x:c r="Y21" s="57" t="str">
        <x:v>proceso_electoral</x:v>
      </x:c>
      <x:c r="Z21" s="57" t="str">
        <x:v>continuidad</x:v>
      </x:c>
      <x:c r="AA21" s="57" t="str">
        <x:v>El proceso electoral de 2021 permite contextualizar la competencia política peruana.</x:v>
      </x:c>
      <x:c r="AB21" s="57" t="str">
        <x:v>none; bibliographic evidence does not modify model parameters automatically</x:v>
      </x:c>
      <x:c r="AC21" s="57" t="str">
        <x:v>Support corpus for an original article; not a systematic-review outcome.</x:v>
      </x:c>
    </x:row>
    <x:row r="22" ht="15" hidden="0" customHeight="1">
      <x:c r="A22" s="58" t="str">
        <x:v>R000205</x:v>
      </x:c>
      <x:c r="B22" s="58" t="n">
        <x:v>1</x:v>
      </x:c>
      <x:c r="C22" s="58" t="str">
        <x:v>provisional_include</x:v>
      </x:c>
      <x:c r="D22" s="58" t="str">
        <x:v>Reelección presidencial y retroceso democrático en América Latina</x:v>
      </x:c>
      <x:c r="E22" s="58" t="str">
        <x:v>Torrico Terán, Mario Alejandro</x:v>
      </x:c>
      <x:c r="F22" s="58" t="n">
        <x:v>2024</x:v>
      </x:c>
      <x:c r="G22" s="58"/>
      <x:c r="H22" s="58" t="str">
        <x:v>core</x:v>
      </x:c>
      <x:c r="I22" s="58" t="str">
        <x:v>module_A_es</x:v>
      </x:c>
      <x:c r="J22" s="58"/>
      <x:c r="K22" s="58" t="str">
        <x:v>https://core.ac.uk/download/618593077.pdf</x:v>
      </x:c>
      <x:c r="L22" s="58" t="str">
        <x:v>https://core.ac.uk/download/618593077.pdf</x:v>
      </x:c>
      <x:c r="M22" s="58" t="str">
        <x:v>retrieved</x:v>
      </x:c>
      <x:c r="N22" s="58" t="str">
        <x:v>legal_open_web</x:v>
      </x:c>
      <x:c r="O22" s="58" t="str">
        <x:v>scielo_full_html</x:v>
      </x:c>
      <x:c r="P22" s="58" t="str">
        <x:v>passed</x:v>
      </x:c>
      <x:c r="Q22" s="58" t="str">
        <x:v>yes</x:v>
      </x:c>
      <x:c r="R22" s="58" t="str">
        <x:v>eligible</x:v>
      </x:c>
      <x:c r="S22" s="58" t="str">
        <x:v>included</x:v>
      </x:c>
      <x:c r="T22" s="58"/>
      <x:c r="U22" s="58" t="str">
        <x:v>MMAT_2018</x:v>
      </x:c>
      <x:c r="V22" s="58" t="str">
        <x:v>alta</x:v>
      </x:c>
      <x:c r="W22" s="58" t="str">
        <x:v>Discusión</x:v>
      </x:c>
      <x:c r="X22" s="58" t="str">
        <x:v>reelección y retroceso comparado</x:v>
      </x:c>
      <x:c r="Y22" s="58" t="str">
        <x:v>funcionamiento_gobierno</x:v>
      </x:c>
      <x:c r="Z22" s="58" t="str">
        <x:v>restrictivo</x:v>
      </x:c>
      <x:c r="AA22" s="58" t="str">
        <x:v>La concentración ejecutiva y la reelección pueden asociarse con retroceso democrático.</x:v>
      </x:c>
      <x:c r="AB22" s="58" t="str">
        <x:v>none; bibliographic evidence does not modify model parameters automatically</x:v>
      </x:c>
      <x:c r="AC22" s="58" t="str">
        <x:v>Support corpus for an original article; not a systematic-review outcome.</x:v>
      </x:c>
    </x:row>
    <x:row r="23" ht="15" hidden="0" customHeight="1">
      <x:c r="A23" s="57" t="str">
        <x:v>R000247</x:v>
      </x:c>
      <x:c r="B23" s="57" t="n">
        <x:v>1</x:v>
      </x:c>
      <x:c r="C23" s="57" t="str">
        <x:v>provisional_include</x:v>
      </x:c>
      <x:c r="D23" s="57" t="str">
        <x:v>Replication data for: The Democracy Cluster Classification Index</x:v>
      </x:c>
      <x:c r="E23" s="57" t="str">
        <x:v>Gugiu,  Mihaiela Ristei; Centellas, Miguel</x:v>
      </x:c>
      <x:c r="F23" s="57" t="n">
        <x:v>2013</x:v>
      </x:c>
      <x:c r="G23" s="57"/>
      <x:c r="H23" s="57" t="str">
        <x:v>core</x:v>
      </x:c>
      <x:c r="I23" s="57" t="str">
        <x:v>module_C_en</x:v>
      </x:c>
      <x:c r="J23" s="57" t="str">
        <x:v>10.7910/dvn/6uwauq</x:v>
      </x:c>
      <x:c r="K23" s="57" t="str">
        <x:v>https://core.ac.uk/download/268485845.pdf</x:v>
      </x:c>
      <x:c r="L23" s="57" t="str">
        <x:v>https://core.ac.uk/download/268485845.pdf</x:v>
      </x:c>
      <x:c r="M23" s="57" t="str">
        <x:v>not_retrieved</x:v>
      </x:c>
      <x:c r="N23" s="57" t="str">
        <x:v>unavailable</x:v>
      </x:c>
      <x:c r="O23" s="57" t="str">
        <x:v>No se obtuvo texto completo verificable mediante Drive, repositorio o editor de acceso abierto.</x:v>
      </x:c>
      <x:c r="P23" s="57" t="str">
        <x:v>not_applicable</x:v>
      </x:c>
      <x:c r="Q23" s="57" t="str">
        <x:v>no</x:v>
      </x:c>
      <x:c r="R23" s="57" t="str">
        <x:v>not_assessed_fulltext</x:v>
      </x:c>
      <x:c r="S23" s="57" t="str">
        <x:v>not_retrieved</x:v>
      </x:c>
      <x:c r="T23" s="57" t="str">
        <x:v>NR_FULLTEXT_UNAVAILABLE</x:v>
      </x:c>
      <x:c r="U23" s="57"/>
      <x:c r="V23" s="57"/>
      <x:c r="W23" s="57"/>
      <x:c r="X23" s="57"/>
      <x:c r="Y23" s="57"/>
      <x:c r="Z23" s="57"/>
      <x:c r="AA23" s="57"/>
      <x:c r="AB23" s="57" t="str">
        <x:v>none; bibliographic evidence does not modify model parameters automatically</x:v>
      </x:c>
      <x:c r="AC23" s="57" t="str">
        <x:v>Support corpus for an original article; not a systematic-review outcome.</x:v>
      </x:c>
    </x:row>
    <x:row r="24" ht="15" hidden="0" customHeight="1">
      <x:c r="A24" s="58" t="str">
        <x:v>R000248</x:v>
      </x:c>
      <x:c r="B24" s="58" t="n">
        <x:v>1</x:v>
      </x:c>
      <x:c r="C24" s="58" t="str">
        <x:v>provisional_include</x:v>
      </x:c>
      <x:c r="D24" s="58" t="str">
        <x:v>Creating Composite Indicators with DEA and Robustness Analysis: the case of the Technology Achievement Index</x:v>
      </x:c>
      <x:c r="E24" s="58" t="str">
        <x:v>A. Saltelli; Wim Moesen; R. Liska; Tom Van Puyenbroeck; Michaela Saisana; Laurens Cherchye; Nicky Rogge; S. Tarantola</x:v>
      </x:c>
      <x:c r="F24" s="58" t="n">
        <x:v>2006</x:v>
      </x:c>
      <x:c r="G24" s="58"/>
      <x:c r="H24" s="58" t="str">
        <x:v>core</x:v>
      </x:c>
      <x:c r="I24" s="58" t="str">
        <x:v>module_C_en</x:v>
      </x:c>
      <x:c r="J24" s="58" t="str">
        <x:v>10.1057/palgrave.jors.2602445</x:v>
      </x:c>
      <x:c r="K24" s="58" t="str">
        <x:v>https://core.ac.uk/download/7087829.pdf</x:v>
      </x:c>
      <x:c r="L24" s="58" t="str">
        <x:v>https://core.ac.uk/download/7087829.pdf</x:v>
      </x:c>
      <x:c r="M24" s="58" t="str">
        <x:v>retrieved</x:v>
      </x:c>
      <x:c r="N24" s="58" t="str">
        <x:v>drive_open_access</x:v>
      </x:c>
      <x:c r="O24" s="58" t="str">
        <x:v>Google Drive OA folder; local extraction drive_23.txt</x:v>
      </x:c>
      <x:c r="P24" s="58" t="str">
        <x:v>passed</x:v>
      </x:c>
      <x:c r="Q24" s="58" t="str">
        <x:v>yes</x:v>
      </x:c>
      <x:c r="R24" s="58" t="str">
        <x:v>eligible</x:v>
      </x:c>
      <x:c r="S24" s="58" t="str">
        <x:v>included</x:v>
      </x:c>
      <x:c r="T24" s="58"/>
      <x:c r="U24" s="58" t="str">
        <x:v>METHOD_RELEVANCE</x:v>
      </x:c>
      <x:c r="V24" s="58" t="str">
        <x:v>alta</x:v>
      </x:c>
      <x:c r="W24" s="58" t="str">
        <x:v>Métodos y limitaciones</x:v>
      </x:c>
      <x:c r="X24" s="58" t="str">
        <x:v>robustez de indicadores compuestos</x:v>
      </x:c>
      <x:c r="Y24" s="58" t="str">
        <x:v>sensibilidad</x:v>
      </x:c>
      <x:c r="Z24" s="58" t="str">
        <x:v>transversal</x:v>
      </x:c>
      <x:c r="AA24" s="58" t="str">
        <x:v>Los indicadores compuestos requieren análisis de sensibilidad a reglas de agregación.</x:v>
      </x:c>
      <x:c r="AB24" s="58" t="str">
        <x:v>none; bibliographic evidence does not modify model parameters automatically</x:v>
      </x:c>
      <x:c r="AC24" s="58" t="str">
        <x:v>Support corpus for an original article; not a systematic-review outcome.</x:v>
      </x:c>
    </x:row>
    <x:row r="25" ht="15" hidden="0" customHeight="1">
      <x:c r="A25" s="57" t="str">
        <x:v>R000251</x:v>
      </x:c>
      <x:c r="B25" s="57" t="n">
        <x:v>1</x:v>
      </x:c>
      <x:c r="C25" s="57" t="str">
        <x:v>provisional_include</x:v>
      </x:c>
      <x:c r="D25" s="57" t="str">
        <x:v>La democracia en perspectiva: consideraciones teóricas y análisis de casos</x:v>
      </x:c>
      <x:c r="E25" s="57" t="str">
        <x:v>Lopez Leyva, Miguel Armando; Labastida Martin del Campo, Julio; Castanos, Fernando</x:v>
      </x:c>
      <x:c r="F25" s="57" t="n">
        <x:v>2008</x:v>
      </x:c>
      <x:c r="G25" s="57"/>
      <x:c r="H25" s="57" t="str">
        <x:v>core</x:v>
      </x:c>
      <x:c r="I25" s="57" t="str">
        <x:v>module_C_es</x:v>
      </x:c>
      <x:c r="J25" s="57"/>
      <x:c r="K25" s="57" t="str">
        <x:v>https://core.ac.uk/download/79478659.pdf</x:v>
      </x:c>
      <x:c r="L25" s="57" t="str">
        <x:v>https://core.ac.uk/download/79478659.pdf</x:v>
      </x:c>
      <x:c r="M25" s="57" t="str">
        <x:v>not_retrieved</x:v>
      </x:c>
      <x:c r="N25" s="57" t="str">
        <x:v>unavailable</x:v>
      </x:c>
      <x:c r="O25" s="57" t="str">
        <x:v>No se obtuvo texto completo verificable mediante Drive, repositorio o editor de acceso abierto.</x:v>
      </x:c>
      <x:c r="P25" s="57" t="str">
        <x:v>not_applicable</x:v>
      </x:c>
      <x:c r="Q25" s="57" t="str">
        <x:v>no</x:v>
      </x:c>
      <x:c r="R25" s="57" t="str">
        <x:v>not_assessed_fulltext</x:v>
      </x:c>
      <x:c r="S25" s="57" t="str">
        <x:v>not_retrieved</x:v>
      </x:c>
      <x:c r="T25" s="57" t="str">
        <x:v>NR_FULLTEXT_UNAVAILABLE</x:v>
      </x:c>
      <x:c r="U25" s="57"/>
      <x:c r="V25" s="57"/>
      <x:c r="W25" s="57"/>
      <x:c r="X25" s="57"/>
      <x:c r="Y25" s="57"/>
      <x:c r="Z25" s="57"/>
      <x:c r="AA25" s="57"/>
      <x:c r="AB25" s="57" t="str">
        <x:v>none; bibliographic evidence does not modify model parameters automatically</x:v>
      </x:c>
      <x:c r="AC25" s="57" t="str">
        <x:v>Support corpus for an original article; not a systematic-review outcome.</x:v>
      </x:c>
    </x:row>
    <x:row r="26" ht="15" hidden="0" customHeight="1">
      <x:c r="A26" s="58" t="str">
        <x:v>R000252</x:v>
      </x:c>
      <x:c r="B26" s="58" t="n">
        <x:v>1</x:v>
      </x:c>
      <x:c r="C26" s="58" t="str">
        <x:v>provisional_include</x:v>
      </x:c>
      <x:c r="D26" s="58" t="str">
        <x:v>Da democracia representativa à democracia participativa: a auto-convocação popular, um mecanismo de aperfeiçoamento da representação política</x:v>
      </x:c>
      <x:c r="E26" s="58" t="str">
        <x:v>Carvalho, Kátia de</x:v>
      </x:c>
      <x:c r="F26" s="58" t="n">
        <x:v>2012</x:v>
      </x:c>
      <x:c r="G26" s="58"/>
      <x:c r="H26" s="58" t="str">
        <x:v>core</x:v>
      </x:c>
      <x:c r="I26" s="58" t="str">
        <x:v>module_C_es</x:v>
      </x:c>
      <x:c r="J26" s="58"/>
      <x:c r="K26" s="58" t="str">
        <x:v>https://core.ac.uk/download/30376264.pdf</x:v>
      </x:c>
      <x:c r="L26" s="58" t="str">
        <x:v>https://core.ac.uk/download/30376264.pdf</x:v>
      </x:c>
      <x:c r="M26" s="58" t="str">
        <x:v>not_retrieved</x:v>
      </x:c>
      <x:c r="N26" s="58" t="str">
        <x:v>unavailable</x:v>
      </x:c>
      <x:c r="O26" s="58" t="str">
        <x:v>No se obtuvo texto completo verificable mediante Drive, repositorio o editor de acceso abierto.</x:v>
      </x:c>
      <x:c r="P26" s="58" t="str">
        <x:v>not_applicable</x:v>
      </x:c>
      <x:c r="Q26" s="58" t="str">
        <x:v>no</x:v>
      </x:c>
      <x:c r="R26" s="58" t="str">
        <x:v>not_assessed_fulltext</x:v>
      </x:c>
      <x:c r="S26" s="58" t="str">
        <x:v>not_retrieved</x:v>
      </x:c>
      <x:c r="T26" s="58" t="str">
        <x:v>NR_FULLTEXT_UNAVAILABLE</x:v>
      </x:c>
      <x:c r="U26" s="58"/>
      <x:c r="V26" s="58"/>
      <x:c r="W26" s="58"/>
      <x:c r="X26" s="58"/>
      <x:c r="Y26" s="58"/>
      <x:c r="Z26" s="58"/>
      <x:c r="AA26" s="58"/>
      <x:c r="AB26" s="58" t="str">
        <x:v>none; bibliographic evidence does not modify model parameters automatically</x:v>
      </x:c>
      <x:c r="AC26" s="58" t="str">
        <x:v>Support corpus for an original article; not a systematic-review outcome.</x:v>
      </x:c>
    </x:row>
    <x:row r="27" ht="15" hidden="0" customHeight="1">
      <x:c r="A27" s="57" t="str">
        <x:v>R000271</x:v>
      </x:c>
      <x:c r="B27" s="57" t="n">
        <x:v>1</x:v>
      </x:c>
      <x:c r="C27" s="57" t="str">
        <x:v>provisional_include</x:v>
      </x:c>
      <x:c r="D27" s="57" t="str">
        <x:v>Métodos de prospectiva estratégica y participación local en el análisis de estudios de futuro en áreas naturales protegidas</x:v>
      </x:c>
      <x:c r="E27" s="57" t="str">
        <x:v>de los Ángeles La Torre-Cuadros, M.; Fernando Díaz del Olmo; Alexis Nicolás Ibáñez Blancas; Ibáñez Blancas, Alexis Nicolás; Blancas, A.N.I.; María de los Ángeles La Torre-Cuadros; La Torre-Cuadros, María de los Ángeles; Díaz del Olmo, Fernando; del Olmo, F.D.</x:v>
      </x:c>
      <x:c r="F27" s="57" t="n">
        <x:v>2023</x:v>
      </x:c>
      <x:c r="G27" s="57" t="str">
        <x:v>{"title": null, "identifiers": []}</x:v>
      </x:c>
      <x:c r="H27" s="57" t="str">
        <x:v>core</x:v>
      </x:c>
      <x:c r="I27" s="57" t="str">
        <x:v>module_D_es</x:v>
      </x:c>
      <x:c r="J27" s="57" t="str">
        <x:v>10.3989/estgeogr.2023131.131</x:v>
      </x:c>
      <x:c r="K27" s="57" t="str">
        <x:v>https://core.ac.uk/download/573452480.pdf</x:v>
      </x:c>
      <x:c r="L27" s="57" t="str">
        <x:v>https://core.ac.uk/download/573452480.pdf</x:v>
      </x:c>
      <x:c r="M27" s="57" t="str">
        <x:v>retrieved</x:v>
      </x:c>
      <x:c r="N27" s="57" t="str">
        <x:v>legal_open_web</x:v>
      </x:c>
      <x:c r="O27" s="57" t="str">
        <x:v>CSIC_OA_pdf</x:v>
      </x:c>
      <x:c r="P27" s="57" t="str">
        <x:v>passed</x:v>
      </x:c>
      <x:c r="Q27" s="57" t="str">
        <x:v>yes</x:v>
      </x:c>
      <x:c r="R27" s="57" t="str">
        <x:v>eligible</x:v>
      </x:c>
      <x:c r="S27" s="57" t="str">
        <x:v>included</x:v>
      </x:c>
      <x:c r="T27" s="57"/>
      <x:c r="U27" s="57" t="str">
        <x:v>MMAT_2018</x:v>
      </x:c>
      <x:c r="V27" s="57" t="str">
        <x:v>alta</x:v>
      </x:c>
      <x:c r="W27" s="57" t="str">
        <x:v>Métodos</x:v>
      </x:c>
      <x:c r="X27" s="57" t="str">
        <x:v>diseño de escenarios</x:v>
      </x:c>
      <x:c r="Y27" s="57" t="str">
        <x:v>prospectiva</x:v>
      </x:c>
      <x:c r="Z27" s="57" t="str">
        <x:v>transversal</x:v>
      </x:c>
      <x:c r="AA27" s="57" t="str">
        <x:v>La prospectiva estratégica permite organizar escenarios exploratorios sin atribuirles probabilidad.</x:v>
      </x:c>
      <x:c r="AB27" s="57" t="str">
        <x:v>none; bibliographic evidence does not modify model parameters automatically</x:v>
      </x:c>
      <x:c r="AC27" s="57" t="str">
        <x:v>Support corpus for an original article; not a systematic-review outcome.</x:v>
      </x:c>
    </x:row>
    <x:row r="28" ht="15" hidden="0" customHeight="1">
      <x:c r="A28" s="58" t="str">
        <x:v>R000273</x:v>
      </x:c>
      <x:c r="B28" s="58" t="n">
        <x:v>1</x:v>
      </x:c>
      <x:c r="C28" s="58" t="str">
        <x:v>provisional_include</x:v>
      </x:c>
      <x:c r="D28" s="58" t="str">
        <x:v>Método para a construção e análise de cenários prospectivos em planejamento educacional baseado na gestão do conhecimento</x:v>
      </x:c>
      <x:c r="E28" s="58" t="str">
        <x:v>Thiesen, Juares da Silva</x:v>
      </x:c>
      <x:c r="F28" s="58" t="n">
        <x:v>2012</x:v>
      </x:c>
      <x:c r="G28" s="58"/>
      <x:c r="H28" s="58" t="str">
        <x:v>core</x:v>
      </x:c>
      <x:c r="I28" s="58" t="str">
        <x:v>module_D_pt</x:v>
      </x:c>
      <x:c r="J28" s="58"/>
      <x:c r="K28" s="58" t="str">
        <x:v>https://core.ac.uk/download/30374115.pdf</x:v>
      </x:c>
      <x:c r="L28" s="58" t="str">
        <x:v>https://core.ac.uk/download/30374115.pdf</x:v>
      </x:c>
      <x:c r="M28" s="58" t="str">
        <x:v>not_retrieved</x:v>
      </x:c>
      <x:c r="N28" s="58" t="str">
        <x:v>unavailable</x:v>
      </x:c>
      <x:c r="O28" s="58" t="str">
        <x:v>No se obtuvo texto completo verificable mediante Drive, repositorio o editor de acceso abierto.</x:v>
      </x:c>
      <x:c r="P28" s="58" t="str">
        <x:v>not_applicable</x:v>
      </x:c>
      <x:c r="Q28" s="58" t="str">
        <x:v>no</x:v>
      </x:c>
      <x:c r="R28" s="58" t="str">
        <x:v>not_assessed_fulltext</x:v>
      </x:c>
      <x:c r="S28" s="58" t="str">
        <x:v>not_retrieved</x:v>
      </x:c>
      <x:c r="T28" s="58" t="str">
        <x:v>NR_FULLTEXT_UNAVAILABLE</x:v>
      </x:c>
      <x:c r="U28" s="58"/>
      <x:c r="V28" s="58"/>
      <x:c r="W28" s="58"/>
      <x:c r="X28" s="58"/>
      <x:c r="Y28" s="58"/>
      <x:c r="Z28" s="58"/>
      <x:c r="AA28" s="58"/>
      <x:c r="AB28" s="58" t="str">
        <x:v>none; bibliographic evidence does not modify model parameters automatically</x:v>
      </x:c>
      <x:c r="AC28" s="58" t="str">
        <x:v>Support corpus for an original article; not a systematic-review outcome.</x:v>
      </x:c>
    </x:row>
    <x:row r="29" ht="15" hidden="0" customHeight="1">
      <x:c r="A29" s="57" t="str">
        <x:v>R000283</x:v>
      </x:c>
      <x:c r="B29" s="57" t="n">
        <x:v>1</x:v>
      </x:c>
      <x:c r="C29" s="57" t="str">
        <x:v>provisional_include</x:v>
      </x:c>
      <x:c r="D29" s="57" t="str">
        <x:v>Métodos e Técnicas em Cenários Prospectivos</x:v>
      </x:c>
      <x:c r="E29" s="57" t="str">
        <x:v>Lapolli, Edis Mafra; Bernardes, José Francisco</x:v>
      </x:c>
      <x:c r="F29" s="57" t="n">
        <x:v>2006</x:v>
      </x:c>
      <x:c r="G29" s="57"/>
      <x:c r="H29" s="57" t="str">
        <x:v>core</x:v>
      </x:c>
      <x:c r="I29" s="57" t="str">
        <x:v>module_D_pt</x:v>
      </x:c>
      <x:c r="J29" s="57"/>
      <x:c r="K29" s="57" t="str">
        <x:v>https://core.ac.uk/download/30355814.pdf</x:v>
      </x:c>
      <x:c r="L29" s="57" t="str">
        <x:v>https://core.ac.uk/download/30355814.pdf</x:v>
      </x:c>
      <x:c r="M29" s="57" t="str">
        <x:v>not_retrieved</x:v>
      </x:c>
      <x:c r="N29" s="57" t="str">
        <x:v>unavailable</x:v>
      </x:c>
      <x:c r="O29" s="57" t="str">
        <x:v>No se obtuvo texto completo verificable mediante Drive, repositorio o editor de acceso abierto.</x:v>
      </x:c>
      <x:c r="P29" s="57" t="str">
        <x:v>not_applicable</x:v>
      </x:c>
      <x:c r="Q29" s="57" t="str">
        <x:v>no</x:v>
      </x:c>
      <x:c r="R29" s="57" t="str">
        <x:v>not_assessed_fulltext</x:v>
      </x:c>
      <x:c r="S29" s="57" t="str">
        <x:v>not_retrieved</x:v>
      </x:c>
      <x:c r="T29" s="57" t="str">
        <x:v>NR_FULLTEXT_UNAVAILABLE</x:v>
      </x:c>
      <x:c r="U29" s="57"/>
      <x:c r="V29" s="57"/>
      <x:c r="W29" s="57"/>
      <x:c r="X29" s="57"/>
      <x:c r="Y29" s="57"/>
      <x:c r="Z29" s="57"/>
      <x:c r="AA29" s="57"/>
      <x:c r="AB29" s="57" t="str">
        <x:v>none; bibliographic evidence does not modify model parameters automatically</x:v>
      </x:c>
      <x:c r="AC29" s="57" t="str">
        <x:v>Support corpus for an original article; not a systematic-review outcome.</x:v>
      </x:c>
    </x:row>
    <x:row r="30" ht="15" hidden="0" customHeight="1">
      <x:c r="A30" s="58" t="str">
        <x:v>R000348</x:v>
      </x:c>
      <x:c r="B30" s="58" t="n">
        <x:v>1</x:v>
      </x:c>
      <x:c r="C30" s="58" t="str">
        <x:v>provisional_include</x:v>
      </x:c>
      <x:c r="D30" s="58" t="str">
        <x:v>The Appeal of the Bukele Regime in Latin America: The Scope and Limits of Citizen Support</x:v>
      </x:c>
      <x:c r="E30" s="58" t="str">
        <x:v>Rosen J.D.</x:v>
      </x:c>
      <x:c r="F30" s="58" t="n">
        <x:v>2026</x:v>
      </x:c>
      <x:c r="G30" s="58" t="str">
        <x:v>Latin American Policy</x:v>
      </x:c>
      <x:c r="H30" s="58" t="str">
        <x:v>scopus</x:v>
      </x:c>
      <x:c r="I30" s="58" t="str">
        <x:v>module_A_en</x:v>
      </x:c>
      <x:c r="J30" s="58" t="str">
        <x:v>10.1111/lamp.70069</x:v>
      </x:c>
      <x:c r="K30" s="58" t="str">
        <x:v>https://api.elsevier.com/content/abstract/scopus_id/105046833808</x:v>
      </x:c>
      <x:c r="L30" s="58" t="str">
        <x:v>https://doi.org/10.1111/lamp.70069</x:v>
      </x:c>
      <x:c r="M30" s="58" t="str">
        <x:v>not_retrieved</x:v>
      </x:c>
      <x:c r="N30" s="58" t="str">
        <x:v>abstract_or_metadata_only</x:v>
      </x:c>
      <x:c r="O30" s="58" t="str">
        <x:v>Resumen o metadatos localizados, pero el texto completo legal no estuvo disponible.</x:v>
      </x:c>
      <x:c r="P30" s="58" t="str">
        <x:v>not_applicable</x:v>
      </x:c>
      <x:c r="Q30" s="58" t="str">
        <x:v>no</x:v>
      </x:c>
      <x:c r="R30" s="58" t="str">
        <x:v>not_assessed_fulltext</x:v>
      </x:c>
      <x:c r="S30" s="58" t="str">
        <x:v>not_retrieved</x:v>
      </x:c>
      <x:c r="T30" s="58" t="str">
        <x:v>NR_FULLTEXT_UNAVAILABLE</x:v>
      </x:c>
      <x:c r="U30" s="58"/>
      <x:c r="V30" s="58"/>
      <x:c r="W30" s="58"/>
      <x:c r="X30" s="58"/>
      <x:c r="Y30" s="58"/>
      <x:c r="Z30" s="58"/>
      <x:c r="AA30" s="58"/>
      <x:c r="AB30" s="58" t="str">
        <x:v>none; bibliographic evidence does not modify model parameters automatically</x:v>
      </x:c>
      <x:c r="AC30" s="58" t="str">
        <x:v>Support corpus for an original article; not a systematic-review outcome.</x:v>
      </x:c>
    </x:row>
    <x:row r="31" ht="15" hidden="0" customHeight="1">
      <x:c r="A31" s="57" t="str">
        <x:v>R000349</x:v>
      </x:c>
      <x:c r="B31" s="57" t="n">
        <x:v>1</x:v>
      </x:c>
      <x:c r="C31" s="57" t="str">
        <x:v>provisional_include</x:v>
      </x:c>
      <x:c r="D31" s="57" t="str">
        <x:v>Floods and democratic attitudes: evidence from Latin America</x:v>
      </x:c>
      <x:c r="E31" s="57" t="str">
        <x:v>Birch S.</x:v>
      </x:c>
      <x:c r="F31" s="57" t="n">
        <x:v>2026</x:v>
      </x:c>
      <x:c r="G31" s="57" t="str">
        <x:v>Climatic Change</x:v>
      </x:c>
      <x:c r="H31" s="57" t="str">
        <x:v>scopus</x:v>
      </x:c>
      <x:c r="I31" s="57" t="str">
        <x:v>module_A_en</x:v>
      </x:c>
      <x:c r="J31" s="57" t="str">
        <x:v>10.1007/s10584-026-04259-5</x:v>
      </x:c>
      <x:c r="K31" s="57" t="str">
        <x:v>https://api.elsevier.com/content/abstract/scopus_id/105046505257</x:v>
      </x:c>
      <x:c r="L31" s="57" t="str">
        <x:v>https://link.springer.com/content/pdf/10.1007/s10584-026-04259-5.pdf</x:v>
      </x:c>
      <x:c r="M31" s="57" t="str">
        <x:v>retrieved</x:v>
      </x:c>
      <x:c r="N31" s="57" t="str">
        <x:v>drive_open_access</x:v>
      </x:c>
      <x:c r="O31" s="57" t="str">
        <x:v>Google Drive OA folder; local extraction drive_17.txt</x:v>
      </x:c>
      <x:c r="P31" s="57" t="str">
        <x:v>passed</x:v>
      </x:c>
      <x:c r="Q31" s="57" t="str">
        <x:v>yes</x:v>
      </x:c>
      <x:c r="R31" s="57" t="str">
        <x:v>excluded_after_fulltext</x:v>
      </x:c>
      <x:c r="S31" s="57" t="str">
        <x:v>excluded</x:v>
      </x:c>
      <x:c r="T31" s="57" t="str">
        <x:v>EXC_NO_DIRECT_CONTRIBUTION_TO_ORIGINAL_ARTICLE: El análisis de inundaciones y actitudes democráticas no sostiene una afirmación central del artículo.</x:v>
      </x:c>
      <x:c r="U31" s="57"/>
      <x:c r="V31" s="57"/>
      <x:c r="W31" s="57"/>
      <x:c r="X31" s="57"/>
      <x:c r="Y31" s="57"/>
      <x:c r="Z31" s="57"/>
      <x:c r="AA31" s="57"/>
      <x:c r="AB31" s="57" t="str">
        <x:v>none; bibliographic evidence does not modify model parameters automatically</x:v>
      </x:c>
      <x:c r="AC31" s="57" t="str">
        <x:v>Support corpus for an original article; not a systematic-review outcome.</x:v>
      </x:c>
    </x:row>
    <x:row r="32" ht="15" hidden="0" customHeight="1">
      <x:c r="A32" s="58" t="str">
        <x:v>R000352</x:v>
      </x:c>
      <x:c r="B32" s="58" t="n">
        <x:v>1</x:v>
      </x:c>
      <x:c r="C32" s="58" t="str">
        <x:v>provisional_include</x:v>
      </x:c>
      <x:c r="D32" s="58" t="str">
        <x:v>What Can Latin America Tell Us about Subnational Democratic Erosion in the United States?</x:v>
      </x:c>
      <x:c r="E32" s="58" t="str">
        <x:v>Eaton K.</x:v>
      </x:c>
      <x:c r="F32" s="58" t="n">
        <x:v>2026</x:v>
      </x:c>
      <x:c r="G32" s="58" t="str">
        <x:v>Perspectives on Politics</x:v>
      </x:c>
      <x:c r="H32" s="58" t="str">
        <x:v>scopus</x:v>
      </x:c>
      <x:c r="I32" s="58" t="str">
        <x:v>module_A_en</x:v>
      </x:c>
      <x:c r="J32" s="58" t="str">
        <x:v>10.1017/s1537592725000015</x:v>
      </x:c>
      <x:c r="K32" s="58" t="str">
        <x:v>https://api.elsevier.com/content/abstract/scopus_id/105001289217</x:v>
      </x:c>
      <x:c r="L32" s="58" t="str">
        <x:v>https://doi.org/10.1017/s1537592725000015</x:v>
      </x:c>
      <x:c r="M32" s="58" t="str">
        <x:v>retrieved</x:v>
      </x:c>
      <x:c r="N32" s="58" t="str">
        <x:v>drive_open_access</x:v>
      </x:c>
      <x:c r="O32" s="58" t="str">
        <x:v>Google Drive OA folder; local extraction drive_01.txt</x:v>
      </x:c>
      <x:c r="P32" s="58" t="str">
        <x:v>passed</x:v>
      </x:c>
      <x:c r="Q32" s="58" t="str">
        <x:v>yes</x:v>
      </x:c>
      <x:c r="R32" s="58" t="str">
        <x:v>excluded_after_fulltext</x:v>
      </x:c>
      <x:c r="S32" s="58" t="str">
        <x:v>excluded</x:v>
      </x:c>
      <x:c r="T32" s="58" t="str">
        <x:v>EXC_CONTEXT_NOT_TRANSFERABLE: La comparación regional no ofrece un mecanismo transferible al caso peruano estudiado.</x:v>
      </x:c>
      <x:c r="U32" s="58"/>
      <x:c r="V32" s="58"/>
      <x:c r="W32" s="58"/>
      <x:c r="X32" s="58"/>
      <x:c r="Y32" s="58"/>
      <x:c r="Z32" s="58"/>
      <x:c r="AA32" s="58"/>
      <x:c r="AB32" s="58" t="str">
        <x:v>none; bibliographic evidence does not modify model parameters automatically</x:v>
      </x:c>
      <x:c r="AC32" s="58" t="str">
        <x:v>Support corpus for an original article; not a systematic-review outcome.</x:v>
      </x:c>
    </x:row>
    <x:row r="33" ht="15" hidden="0" customHeight="1">
      <x:c r="A33" s="57" t="str">
        <x:v>R000353</x:v>
      </x:c>
      <x:c r="B33" s="57" t="n">
        <x:v>1</x:v>
      </x:c>
      <x:c r="C33" s="57" t="str">
        <x:v>provisional_include</x:v>
      </x:c>
      <x:c r="D33" s="57" t="str">
        <x:v>Public acceptance of environmental restrictions beyond high-income democracies</x:v>
      </x:c>
      <x:c r="E33" s="57" t="str">
        <x:v>Jud S.</x:v>
      </x:c>
      <x:c r="F33" s="57" t="n">
        <x:v>2026</x:v>
      </x:c>
      <x:c r="G33" s="57" t="str">
        <x:v>Environmental Research Letters</x:v>
      </x:c>
      <x:c r="H33" s="57" t="str">
        <x:v>scopus</x:v>
      </x:c>
      <x:c r="I33" s="57" t="str">
        <x:v>module_A_en</x:v>
      </x:c>
      <x:c r="J33" s="57" t="str">
        <x:v>10.1088/1748-9326/ae666e</x:v>
      </x:c>
      <x:c r="K33" s="57" t="str">
        <x:v>https://api.elsevier.com/content/abstract/scopus_id/105040031341</x:v>
      </x:c>
      <x:c r="L33" s="57" t="str">
        <x:v>https://iopscience.iop.org/article/10.1088/1748-9326/ae666e/pdf</x:v>
      </x:c>
      <x:c r="M33" s="57" t="str">
        <x:v>retrieved</x:v>
      </x:c>
      <x:c r="N33" s="57" t="str">
        <x:v>drive_open_access</x:v>
      </x:c>
      <x:c r="O33" s="57" t="str">
        <x:v>Google Drive OA folder; local extraction drive_07.txt</x:v>
      </x:c>
      <x:c r="P33" s="57" t="str">
        <x:v>passed</x:v>
      </x:c>
      <x:c r="Q33" s="57" t="str">
        <x:v>yes</x:v>
      </x:c>
      <x:c r="R33" s="57" t="str">
        <x:v>excluded_after_fulltext</x:v>
      </x:c>
      <x:c r="S33" s="57" t="str">
        <x:v>excluded</x:v>
      </x:c>
      <x:c r="T33" s="57" t="str">
        <x:v>EXC_NO_DIRECT_CONTRIBUTION_TO_ORIGINAL_ARTICLE: Las restricciones ambientales no aportan evidencia directa a dimensiones o escenarios del visor.</x:v>
      </x:c>
      <x:c r="U33" s="57"/>
      <x:c r="V33" s="57"/>
      <x:c r="W33" s="57"/>
      <x:c r="X33" s="57"/>
      <x:c r="Y33" s="57"/>
      <x:c r="Z33" s="57"/>
      <x:c r="AA33" s="57"/>
      <x:c r="AB33" s="57" t="str">
        <x:v>none; bibliographic evidence does not modify model parameters automatically</x:v>
      </x:c>
      <x:c r="AC33" s="57" t="str">
        <x:v>Support corpus for an original article; not a systematic-review outcome.</x:v>
      </x:c>
    </x:row>
    <x:row r="34" ht="15" hidden="0" customHeight="1">
      <x:c r="A34" s="58" t="str">
        <x:v>R000358</x:v>
      </x:c>
      <x:c r="B34" s="58" t="n">
        <x:v>1</x:v>
      </x:c>
      <x:c r="C34" s="58" t="str">
        <x:v>provisional_include</x:v>
      </x:c>
      <x:c r="D34" s="58" t="str">
        <x:v>Why resistance fails: unpopular legislative autocratization and opposition weakness in Peru</x:v>
      </x:c>
      <x:c r="E34" s="58" t="str">
        <x:v>Coronel O.</x:v>
      </x:c>
      <x:c r="F34" s="58" t="n">
        <x:v>2026</x:v>
      </x:c>
      <x:c r="G34" s="58" t="str">
        <x:v>Democratization</x:v>
      </x:c>
      <x:c r="H34" s="58" t="str">
        <x:v>scopus</x:v>
      </x:c>
      <x:c r="I34" s="58" t="str">
        <x:v>module_A_en</x:v>
      </x:c>
      <x:c r="J34" s="58" t="str">
        <x:v>10.1080/13510347.2026.2650393</x:v>
      </x:c>
      <x:c r="K34" s="58" t="str">
        <x:v>https://api.elsevier.com/content/abstract/scopus_id/105035774449</x:v>
      </x:c>
      <x:c r="L34" s="58" t="str">
        <x:v>https://doi.org/10.1080/13510347.2026.2650393</x:v>
      </x:c>
      <x:c r="M34" s="58" t="str">
        <x:v>not_retrieved</x:v>
      </x:c>
      <x:c r="N34" s="58" t="str">
        <x:v>abstract_or_metadata_only</x:v>
      </x:c>
      <x:c r="O34" s="58" t="str">
        <x:v>Resumen o metadatos localizados, pero el texto completo legal no estuvo disponible.</x:v>
      </x:c>
      <x:c r="P34" s="58" t="str">
        <x:v>not_applicable</x:v>
      </x:c>
      <x:c r="Q34" s="58" t="str">
        <x:v>no</x:v>
      </x:c>
      <x:c r="R34" s="58" t="str">
        <x:v>not_assessed_fulltext</x:v>
      </x:c>
      <x:c r="S34" s="58" t="str">
        <x:v>not_retrieved</x:v>
      </x:c>
      <x:c r="T34" s="58" t="str">
        <x:v>NR_FULLTEXT_UNAVAILABLE</x:v>
      </x:c>
      <x:c r="U34" s="58"/>
      <x:c r="V34" s="58"/>
      <x:c r="W34" s="58"/>
      <x:c r="X34" s="58"/>
      <x:c r="Y34" s="58"/>
      <x:c r="Z34" s="58"/>
      <x:c r="AA34" s="58"/>
      <x:c r="AB34" s="58" t="str">
        <x:v>none; bibliographic evidence does not modify model parameters automatically</x:v>
      </x:c>
      <x:c r="AC34" s="58" t="str">
        <x:v>Support corpus for an original article; not a systematic-review outcome.</x:v>
      </x:c>
    </x:row>
    <x:row r="35" ht="15" hidden="0" customHeight="1">
      <x:c r="A35" s="57" t="str">
        <x:v>R000361</x:v>
      </x:c>
      <x:c r="B35" s="57" t="n">
        <x:v>1</x:v>
      </x:c>
      <x:c r="C35" s="57" t="str">
        <x:v>provisional_include</x:v>
      </x:c>
      <x:c r="D35" s="57" t="str">
        <x:v>Supermajority rules in constitutional courts and democratic backsliding: a comparative analysis</x:v>
      </x:c>
      <x:c r="E35" s="57" t="str">
        <x:v>Rivera León M.A.</x:v>
      </x:c>
      <x:c r="F35" s="57" t="n">
        <x:v>2026</x:v>
      </x:c>
      <x:c r="G35" s="57" t="str">
        <x:v>International Journal of Human Rights</x:v>
      </x:c>
      <x:c r="H35" s="57" t="str">
        <x:v>scopus</x:v>
      </x:c>
      <x:c r="I35" s="57" t="str">
        <x:v>module_A_en</x:v>
      </x:c>
      <x:c r="J35" s="57" t="str">
        <x:v>10.1080/13642987.2026.2711681</x:v>
      </x:c>
      <x:c r="K35" s="57" t="str">
        <x:v>https://api.elsevier.com/content/abstract/scopus_id/105046706794</x:v>
      </x:c>
      <x:c r="L35" s="57" t="str">
        <x:v>https://www.tandfonline.com/doi/pdf/10.1080/13642987.2026.2711681?needAccess=true</x:v>
      </x:c>
      <x:c r="M35" s="57" t="str">
        <x:v>retrieved</x:v>
      </x:c>
      <x:c r="N35" s="57" t="str">
        <x:v>drive_open_access</x:v>
      </x:c>
      <x:c r="O35" s="57" t="str">
        <x:v>Google Drive OA folder; local extraction drive_05.txt</x:v>
      </x:c>
      <x:c r="P35" s="57" t="str">
        <x:v>passed</x:v>
      </x:c>
      <x:c r="Q35" s="57" t="str">
        <x:v>yes</x:v>
      </x:c>
      <x:c r="R35" s="57" t="str">
        <x:v>eligible</x:v>
      </x:c>
      <x:c r="S35" s="57" t="str">
        <x:v>included</x:v>
      </x:c>
      <x:c r="T35" s="57"/>
      <x:c r="U35" s="57" t="str">
        <x:v>MMAT_2018</x:v>
      </x:c>
      <x:c r="V35" s="57" t="str">
        <x:v>alta</x:v>
      </x:c>
      <x:c r="W35" s="57" t="str">
        <x:v>Discusión</x:v>
      </x:c>
      <x:c r="X35" s="57" t="str">
        <x:v>tribunales y retroceso</x:v>
      </x:c>
      <x:c r="Y35" s="57" t="str">
        <x:v>funcionamiento_gobierno</x:v>
      </x:c>
      <x:c r="Z35" s="57" t="str">
        <x:v>restrictivo</x:v>
      </x:c>
      <x:c r="AA35" s="57" t="str">
        <x:v>Los cambios en supermayorías y controles judiciales pueden facilitar retrocesos institucionales.</x:v>
      </x:c>
      <x:c r="AB35" s="57" t="str">
        <x:v>none; bibliographic evidence does not modify model parameters automatically</x:v>
      </x:c>
      <x:c r="AC35" s="57" t="str">
        <x:v>Support corpus for an original article; not a systematic-review outcome.</x:v>
      </x:c>
    </x:row>
    <x:row r="36" ht="15" hidden="0" customHeight="1">
      <x:c r="A36" s="58" t="str">
        <x:v>R000364</x:v>
      </x:c>
      <x:c r="B36" s="58" t="n">
        <x:v>1</x:v>
      </x:c>
      <x:c r="C36" s="58" t="str">
        <x:v>provisional_include</x:v>
      </x:c>
      <x:c r="D36" s="58" t="str">
        <x:v>The Power and Perils of Participatory Democracy: Participatory Budgeting and Democracy in Peru</x:v>
      </x:c>
      <x:c r="E36" s="58" t="str">
        <x:v>Abbott J.</x:v>
      </x:c>
      <x:c r="F36" s="58" t="n">
        <x:v>2026</x:v>
      </x:c>
      <x:c r="G36" s="58" t="str">
        <x:v>Power and Perils of Participatory Democracy Participatory Budgeting and Democracy in Peru</x:v>
      </x:c>
      <x:c r="H36" s="58" t="str">
        <x:v>scopus</x:v>
      </x:c>
      <x:c r="I36" s="58" t="str">
        <x:v>module_A_en</x:v>
      </x:c>
      <x:c r="J36" s="58" t="str">
        <x:v>10.1093/9780198948735.001.0001</x:v>
      </x:c>
      <x:c r="K36" s="58" t="str">
        <x:v>https://api.elsevier.com/content/abstract/scopus_id/105035037406</x:v>
      </x:c>
      <x:c r="L36" s="58" t="str">
        <x:v>https://doi.org/10.1093/9780198948735.001.0001</x:v>
      </x:c>
      <x:c r="M36" s="58" t="str">
        <x:v>not_retrieved</x:v>
      </x:c>
      <x:c r="N36" s="58" t="str">
        <x:v>unavailable</x:v>
      </x:c>
      <x:c r="O36" s="58" t="str">
        <x:v>No se obtuvo texto completo verificable mediante Drive, repositorio o editor de acceso abierto.</x:v>
      </x:c>
      <x:c r="P36" s="58" t="str">
        <x:v>not_applicable</x:v>
      </x:c>
      <x:c r="Q36" s="58" t="str">
        <x:v>no</x:v>
      </x:c>
      <x:c r="R36" s="58" t="str">
        <x:v>not_assessed_fulltext</x:v>
      </x:c>
      <x:c r="S36" s="58" t="str">
        <x:v>not_retrieved</x:v>
      </x:c>
      <x:c r="T36" s="58" t="str">
        <x:v>NR_FULLTEXT_UNAVAILABLE</x:v>
      </x:c>
      <x:c r="U36" s="58"/>
      <x:c r="V36" s="58"/>
      <x:c r="W36" s="58"/>
      <x:c r="X36" s="58"/>
      <x:c r="Y36" s="58"/>
      <x:c r="Z36" s="58"/>
      <x:c r="AA36" s="58"/>
      <x:c r="AB36" s="58" t="str">
        <x:v>none; bibliographic evidence does not modify model parameters automatically</x:v>
      </x:c>
      <x:c r="AC36" s="58" t="str">
        <x:v>Support corpus for an original article; not a systematic-review outcome.</x:v>
      </x:c>
    </x:row>
    <x:row r="37" ht="15" hidden="0" customHeight="1">
      <x:c r="A37" s="57" t="str">
        <x:v>R000418</x:v>
      </x:c>
      <x:c r="B37" s="57" t="n">
        <x:v>1</x:v>
      </x:c>
      <x:c r="C37" s="57" t="str">
        <x:v>provisional_include</x:v>
      </x:c>
      <x:c r="D37" s="57" t="str">
        <x:v>Asylum seekers’ response to political risk in their countries of origin: New evidence for asylum inflows to the OECD</x:v>
      </x:c>
      <x:c r="E37" s="57" t="str">
        <x:v>Nowak-Lehmann F.</x:v>
      </x:c>
      <x:c r="F37" s="57" t="n">
        <x:v>2026</x:v>
      </x:c>
      <x:c r="G37" s="57" t="str">
        <x:v>Migration Studies</x:v>
      </x:c>
      <x:c r="H37" s="57" t="str">
        <x:v>scopus</x:v>
      </x:c>
      <x:c r="I37" s="57" t="str">
        <x:v>module_B_en</x:v>
      </x:c>
      <x:c r="J37" s="57" t="str">
        <x:v>10.1093/migration/mnag032</x:v>
      </x:c>
      <x:c r="K37" s="57" t="str">
        <x:v>https://api.elsevier.com/content/abstract/scopus_id/105043862811</x:v>
      </x:c>
      <x:c r="L37" s="57" t="str">
        <x:v>https://doi.org/10.1093/migration/mnag032</x:v>
      </x:c>
      <x:c r="M37" s="57" t="str">
        <x:v>not_retrieved</x:v>
      </x:c>
      <x:c r="N37" s="57" t="str">
        <x:v>unavailable</x:v>
      </x:c>
      <x:c r="O37" s="57" t="str">
        <x:v>No se obtuvo texto completo verificable mediante Drive, repositorio o editor de acceso abierto.</x:v>
      </x:c>
      <x:c r="P37" s="57" t="str">
        <x:v>not_applicable</x:v>
      </x:c>
      <x:c r="Q37" s="57" t="str">
        <x:v>no</x:v>
      </x:c>
      <x:c r="R37" s="57" t="str">
        <x:v>not_assessed_fulltext</x:v>
      </x:c>
      <x:c r="S37" s="57" t="str">
        <x:v>not_retrieved</x:v>
      </x:c>
      <x:c r="T37" s="57" t="str">
        <x:v>NR_FULLTEXT_UNAVAILABLE</x:v>
      </x:c>
      <x:c r="U37" s="57"/>
      <x:c r="V37" s="57"/>
      <x:c r="W37" s="57"/>
      <x:c r="X37" s="57"/>
      <x:c r="Y37" s="57"/>
      <x:c r="Z37" s="57"/>
      <x:c r="AA37" s="57"/>
      <x:c r="AB37" s="57" t="str">
        <x:v>none; bibliographic evidence does not modify model parameters automatically</x:v>
      </x:c>
      <x:c r="AC37" s="57" t="str">
        <x:v>Support corpus for an original article; not a systematic-review outcome.</x:v>
      </x:c>
    </x:row>
    <x:row r="38" ht="15" hidden="0" customHeight="1">
      <x:c r="A38" s="58" t="str">
        <x:v>R000432</x:v>
      </x:c>
      <x:c r="B38" s="58" t="n">
        <x:v>1</x:v>
      </x:c>
      <x:c r="C38" s="58" t="str">
        <x:v>provisional_include</x:v>
      </x:c>
      <x:c r="D38" s="58" t="str">
        <x:v>The Override of Presidential Vetoes by the Peruvian Congress: Using Comparative Law to Derive a Proposal for Solving a Domestic Problem</x:v>
      </x:c>
      <x:c r="E38" s="58" t="str">
        <x:v>Fuentes J.A.</x:v>
      </x:c>
      <x:c r="F38" s="58" t="n">
        <x:v>2026</x:v>
      </x:c>
      <x:c r="G38" s="58" t="str">
        <x:v>International Journal of Legal Information</x:v>
      </x:c>
      <x:c r="H38" s="58" t="str">
        <x:v>scopus</x:v>
      </x:c>
      <x:c r="I38" s="58" t="str">
        <x:v>module_B_en</x:v>
      </x:c>
      <x:c r="J38" s="58" t="str">
        <x:v>10.1515/ijli-2026-0001</x:v>
      </x:c>
      <x:c r="K38" s="58" t="str">
        <x:v>https://api.elsevier.com/content/abstract/scopus_id/105038644144</x:v>
      </x:c>
      <x:c r="L38" s="58" t="str">
        <x:v>https://doi.org/10.1515/ijli-2026-0001</x:v>
      </x:c>
      <x:c r="M38" s="58" t="str">
        <x:v>not_retrieved</x:v>
      </x:c>
      <x:c r="N38" s="58" t="str">
        <x:v>abstract_or_metadata_only</x:v>
      </x:c>
      <x:c r="O38" s="58" t="str">
        <x:v>Resumen o metadatos localizados, pero el texto completo legal no estuvo disponible.</x:v>
      </x:c>
      <x:c r="P38" s="58" t="str">
        <x:v>not_applicable</x:v>
      </x:c>
      <x:c r="Q38" s="58" t="str">
        <x:v>no</x:v>
      </x:c>
      <x:c r="R38" s="58" t="str">
        <x:v>not_assessed_fulltext</x:v>
      </x:c>
      <x:c r="S38" s="58" t="str">
        <x:v>not_retrieved</x:v>
      </x:c>
      <x:c r="T38" s="58" t="str">
        <x:v>NR_FULLTEXT_UNAVAILABLE</x:v>
      </x:c>
      <x:c r="U38" s="58"/>
      <x:c r="V38" s="58"/>
      <x:c r="W38" s="58"/>
      <x:c r="X38" s="58"/>
      <x:c r="Y38" s="58"/>
      <x:c r="Z38" s="58"/>
      <x:c r="AA38" s="58"/>
      <x:c r="AB38" s="58" t="str">
        <x:v>none; bibliographic evidence does not modify model parameters automatically</x:v>
      </x:c>
      <x:c r="AC38" s="58" t="str">
        <x:v>Support corpus for an original article; not a systematic-review outcome.</x:v>
      </x:c>
    </x:row>
    <x:row r="39" ht="15" hidden="0" customHeight="1">
      <x:c r="A39" s="57" t="str">
        <x:v>R000438</x:v>
      </x:c>
      <x:c r="B39" s="57" t="n">
        <x:v>1</x:v>
      </x:c>
      <x:c r="C39" s="57" t="str">
        <x:v>provisional_include</x:v>
      </x:c>
      <x:c r="D39" s="57" t="str">
        <x:v>Assessing Democratic Resilience in Latin America's AI Era: A Diagnostic Framework for Electoral Integrity Preparedness</x:v>
      </x:c>
      <x:c r="E39" s="57" t="str">
        <x:v>Rico Fontalvo H.</x:v>
      </x:c>
      <x:c r="F39" s="57" t="n">
        <x:v>2026</x:v>
      </x:c>
      <x:c r="G39" s="57" t="str">
        <x:v>Representation</x:v>
      </x:c>
      <x:c r="H39" s="57" t="str">
        <x:v>scopus</x:v>
      </x:c>
      <x:c r="I39" s="57" t="str">
        <x:v>module_B_en</x:v>
      </x:c>
      <x:c r="J39" s="57" t="str">
        <x:v>10.1080/00344893.2026.2614612</x:v>
      </x:c>
      <x:c r="K39" s="57" t="str">
        <x:v>https://api.elsevier.com/content/abstract/scopus_id/105028116489</x:v>
      </x:c>
      <x:c r="L39" s="57" t="str">
        <x:v>https://doi.org/10.1080/00344893.2026.2614612</x:v>
      </x:c>
      <x:c r="M39" s="57" t="str">
        <x:v>not_retrieved</x:v>
      </x:c>
      <x:c r="N39" s="57" t="str">
        <x:v>abstract_or_metadata_only</x:v>
      </x:c>
      <x:c r="O39" s="57" t="str">
        <x:v>Resumen o metadatos localizados, pero el texto completo legal no estuvo disponible.</x:v>
      </x:c>
      <x:c r="P39" s="57" t="str">
        <x:v>not_applicable</x:v>
      </x:c>
      <x:c r="Q39" s="57" t="str">
        <x:v>no</x:v>
      </x:c>
      <x:c r="R39" s="57" t="str">
        <x:v>not_assessed_fulltext</x:v>
      </x:c>
      <x:c r="S39" s="57" t="str">
        <x:v>not_retrieved</x:v>
      </x:c>
      <x:c r="T39" s="57" t="str">
        <x:v>NR_FULLTEXT_UNAVAILABLE</x:v>
      </x:c>
      <x:c r="U39" s="57"/>
      <x:c r="V39" s="57"/>
      <x:c r="W39" s="57"/>
      <x:c r="X39" s="57"/>
      <x:c r="Y39" s="57"/>
      <x:c r="Z39" s="57"/>
      <x:c r="AA39" s="57"/>
      <x:c r="AB39" s="57" t="str">
        <x:v>none; bibliographic evidence does not modify model parameters automatically</x:v>
      </x:c>
      <x:c r="AC39" s="57" t="str">
        <x:v>Support corpus for an original article; not a systematic-review outcome.</x:v>
      </x:c>
    </x:row>
    <x:row r="40" ht="15" hidden="0" customHeight="1">
      <x:c r="A40" s="58" t="str">
        <x:v>R000518</x:v>
      </x:c>
      <x:c r="B40" s="58" t="n">
        <x:v>1</x:v>
      </x:c>
      <x:c r="C40" s="58" t="str">
        <x:v>provisional_include</x:v>
      </x:c>
      <x:c r="D40" s="58" t="str">
        <x:v>Opening or foreclosing futures? A longitudinal analysis of European bioeconomy foresight (SCAR, 2007–2020)</x:v>
      </x:c>
      <x:c r="E40" s="58" t="str">
        <x:v>Vastenaekels J.</x:v>
      </x:c>
      <x:c r="F40" s="58" t="n">
        <x:v>2026</x:v>
      </x:c>
      <x:c r="G40" s="58" t="str">
        <x:v>European Journal of Futures Research</x:v>
      </x:c>
      <x:c r="H40" s="58" t="str">
        <x:v>scopus</x:v>
      </x:c>
      <x:c r="I40" s="58" t="str">
        <x:v>module_D_en</x:v>
      </x:c>
      <x:c r="J40" s="58" t="str">
        <x:v>10.1186/s40309-026-00274-y</x:v>
      </x:c>
      <x:c r="K40" s="58" t="str">
        <x:v>https://api.elsevier.com/content/abstract/scopus_id/105040913650</x:v>
      </x:c>
      <x:c r="L40" s="58" t="str">
        <x:v>https://doi.org/10.1186/s40309-026-00274-y</x:v>
      </x:c>
      <x:c r="M40" s="58" t="str">
        <x:v>retrieved</x:v>
      </x:c>
      <x:c r="N40" s="58" t="str">
        <x:v>drive_open_access</x:v>
      </x:c>
      <x:c r="O40" s="58" t="str">
        <x:v>Google Drive OA folder; local extraction drive_12.txt</x:v>
      </x:c>
      <x:c r="P40" s="58" t="str">
        <x:v>passed</x:v>
      </x:c>
      <x:c r="Q40" s="58" t="str">
        <x:v>yes</x:v>
      </x:c>
      <x:c r="R40" s="58" t="str">
        <x:v>excluded_after_fulltext</x:v>
      </x:c>
      <x:c r="S40" s="58" t="str">
        <x:v>excluded</x:v>
      </x:c>
      <x:c r="T40" s="58" t="str">
        <x:v>EXC_NO_DIRECT_CONTRIBUTION_TO_ORIGINAL_ARTICLE: La prospectiva de bioeconomía no corresponde al dominio institucional del estudio.</x:v>
      </x:c>
      <x:c r="U40" s="58"/>
      <x:c r="V40" s="58"/>
      <x:c r="W40" s="58"/>
      <x:c r="X40" s="58"/>
      <x:c r="Y40" s="58"/>
      <x:c r="Z40" s="58"/>
      <x:c r="AA40" s="58"/>
      <x:c r="AB40" s="58" t="str">
        <x:v>none; bibliographic evidence does not modify model parameters automatically</x:v>
      </x:c>
      <x:c r="AC40" s="58" t="str">
        <x:v>Support corpus for an original article; not a systematic-review outcome.</x:v>
      </x:c>
    </x:row>
    <x:row r="41" ht="15" hidden="0" customHeight="1">
      <x:c r="A41" s="57" t="str">
        <x:v>R000519</x:v>
      </x:c>
      <x:c r="B41" s="57" t="n">
        <x:v>1</x:v>
      </x:c>
      <x:c r="C41" s="57" t="str">
        <x:v>provisional_include</x:v>
      </x:c>
      <x:c r="D41" s="57" t="str">
        <x:v>Bridging foresight and transition theory: policy mixes for transforming Europe’s food systems</x:v>
      </x:c>
      <x:c r="E41" s="57" t="str">
        <x:v>Lorenz U.</x:v>
      </x:c>
      <x:c r="F41" s="57" t="n">
        <x:v>2026</x:v>
      </x:c>
      <x:c r="G41" s="57" t="str">
        <x:v>European Journal of Futures Research</x:v>
      </x:c>
      <x:c r="H41" s="57" t="str">
        <x:v>scopus</x:v>
      </x:c>
      <x:c r="I41" s="57" t="str">
        <x:v>module_D_en</x:v>
      </x:c>
      <x:c r="J41" s="57" t="str">
        <x:v>10.1186/s40309-026-00284-w</x:v>
      </x:c>
      <x:c r="K41" s="57" t="str">
        <x:v>https://api.elsevier.com/content/abstract/scopus_id/105046460366</x:v>
      </x:c>
      <x:c r="L41" s="57" t="str">
        <x:v>https://link.springer.com/content/pdf/10.1186/s40309-026-00284-w.pdf</x:v>
      </x:c>
      <x:c r="M41" s="57" t="str">
        <x:v>retrieved</x:v>
      </x:c>
      <x:c r="N41" s="57" t="str">
        <x:v>drive_open_access</x:v>
      </x:c>
      <x:c r="O41" s="57" t="str">
        <x:v>Google Drive OA folder; local extraction drive_25.txt</x:v>
      </x:c>
      <x:c r="P41" s="57" t="str">
        <x:v>passed</x:v>
      </x:c>
      <x:c r="Q41" s="57" t="str">
        <x:v>yes</x:v>
      </x:c>
      <x:c r="R41" s="57" t="str">
        <x:v>excluded_after_fulltext</x:v>
      </x:c>
      <x:c r="S41" s="57" t="str">
        <x:v>excluded</x:v>
      </x:c>
      <x:c r="T41" s="57" t="str">
        <x:v>EXC_NO_DIRECT_CONTRIBUTION_TO_ORIGINAL_ARTICLE: La transición alimentaria prospectiva no sustenta el modelo ni la discusión democrática.</x:v>
      </x:c>
      <x:c r="U41" s="57"/>
      <x:c r="V41" s="57"/>
      <x:c r="W41" s="57"/>
      <x:c r="X41" s="57"/>
      <x:c r="Y41" s="57"/>
      <x:c r="Z41" s="57"/>
      <x:c r="AA41" s="57"/>
      <x:c r="AB41" s="57" t="str">
        <x:v>none; bibliographic evidence does not modify model parameters automatically</x:v>
      </x:c>
      <x:c r="AC41" s="57" t="str">
        <x:v>Support corpus for an original article; not a systematic-review outcome.</x:v>
      </x:c>
    </x:row>
    <x:row r="42" ht="15" hidden="0" customHeight="1">
      <x:c r="A42" s="58" t="str">
        <x:v>R000535</x:v>
      </x:c>
      <x:c r="B42" s="58" t="n">
        <x:v>1</x:v>
      </x:c>
      <x:c r="C42" s="58" t="str">
        <x:v>provisional_include</x:v>
      </x:c>
      <x:c r="D42" s="58" t="str">
        <x:v>Elite cohesion and policy consensus: Technocrats and politicians in Chile and Uruguay’s economic policy networks (2003–2012)</x:v>
      </x:c>
      <x:c r="E42" s="58" t="str">
        <x:v>Garrido-Vergara L.</x:v>
      </x:c>
      <x:c r="F42" s="58" t="n">
        <x:v>2026</x:v>
      </x:c>
      <x:c r="G42" s="58" t="str">
        <x:v>International Journal of Comparative Sociology</x:v>
      </x:c>
      <x:c r="H42" s="58" t="str">
        <x:v>scopus</x:v>
      </x:c>
      <x:c r="I42" s="58" t="str">
        <x:v>module_D_es</x:v>
      </x:c>
      <x:c r="J42" s="58" t="str">
        <x:v>10.1177/00207152251358850</x:v>
      </x:c>
      <x:c r="K42" s="58" t="str">
        <x:v>https://api.elsevier.com/content/abstract/scopus_id/105024680025</x:v>
      </x:c>
      <x:c r="L42" s="58" t="str">
        <x:v>https://doi.org/10.1177/00207152251358850</x:v>
      </x:c>
      <x:c r="M42" s="58" t="str">
        <x:v>not_retrieved</x:v>
      </x:c>
      <x:c r="N42" s="58" t="str">
        <x:v>unavailable</x:v>
      </x:c>
      <x:c r="O42" s="58" t="str">
        <x:v>No se obtuvo texto completo verificable mediante Drive, repositorio o editor de acceso abierto.</x:v>
      </x:c>
      <x:c r="P42" s="58" t="str">
        <x:v>not_applicable</x:v>
      </x:c>
      <x:c r="Q42" s="58" t="str">
        <x:v>no</x:v>
      </x:c>
      <x:c r="R42" s="58" t="str">
        <x:v>not_assessed_fulltext</x:v>
      </x:c>
      <x:c r="S42" s="58" t="str">
        <x:v>not_retrieved</x:v>
      </x:c>
      <x:c r="T42" s="58" t="str">
        <x:v>NR_FULLTEXT_UNAVAILABLE</x:v>
      </x:c>
      <x:c r="U42" s="58"/>
      <x:c r="V42" s="58"/>
      <x:c r="W42" s="58"/>
      <x:c r="X42" s="58"/>
      <x:c r="Y42" s="58"/>
      <x:c r="Z42" s="58"/>
      <x:c r="AA42" s="58"/>
      <x:c r="AB42" s="58" t="str">
        <x:v>none; bibliographic evidence does not modify model parameters automatically</x:v>
      </x:c>
      <x:c r="AC42" s="58" t="str">
        <x:v>Support corpus for an original article; not a systematic-review outcome.</x:v>
      </x:c>
    </x:row>
    <x:row r="43" ht="15" hidden="0" customHeight="1">
      <x:c r="A43" s="57" t="str">
        <x:v>R000541</x:v>
      </x:c>
      <x:c r="B43" s="57" t="n">
        <x:v>1</x:v>
      </x:c>
      <x:c r="C43" s="57" t="str">
        <x:v>provisional_include</x:v>
      </x:c>
      <x:c r="D43" s="57" t="str">
        <x:v>Children of the revolution? Democratic innovations during the first 50 years of democracy in Portugal</x:v>
      </x:c>
      <x:c r="E43" s="57" t="str">
        <x:v>Falanga R.</x:v>
      </x:c>
      <x:c r="F43" s="57" t="n">
        <x:v>2026</x:v>
      </x:c>
      <x:c r="G43" s="57" t="str">
        <x:v>European Political Science</x:v>
      </x:c>
      <x:c r="H43" s="57" t="str">
        <x:v>scopus</x:v>
      </x:c>
      <x:c r="I43" s="57" t="str">
        <x:v>module_D_es</x:v>
      </x:c>
      <x:c r="J43" s="57" t="str">
        <x:v>10.1017/s1682098325100052</x:v>
      </x:c>
      <x:c r="K43" s="57" t="str">
        <x:v>https://api.elsevier.com/content/abstract/scopus_id/105035700778</x:v>
      </x:c>
      <x:c r="L43" s="57" t="str">
        <x:v>https://www.cambridge.org/core/services/aop-cambridge-core/content/view/178A56DA98F69E3BD3F3E5356A1FEC03/S1682098325100052a.pdf/div-class-title-children-of-the-revolution-democratic-innovations-during-the-first-50-years-of-democracy-in-portugal-div.pdf</x:v>
      </x:c>
      <x:c r="M43" s="57" t="str">
        <x:v>retrieved</x:v>
      </x:c>
      <x:c r="N43" s="57" t="str">
        <x:v>drive_open_access</x:v>
      </x:c>
      <x:c r="O43" s="57" t="str">
        <x:v>Google Drive OA folder; local extraction drive_24.txt</x:v>
      </x:c>
      <x:c r="P43" s="57" t="str">
        <x:v>passed</x:v>
      </x:c>
      <x:c r="Q43" s="57" t="str">
        <x:v>yes</x:v>
      </x:c>
      <x:c r="R43" s="57" t="str">
        <x:v>excluded_after_fulltext</x:v>
      </x:c>
      <x:c r="S43" s="57" t="str">
        <x:v>excluded</x:v>
      </x:c>
      <x:c r="T43" s="57" t="str">
        <x:v>EXC_CONTEXT_NOT_TRANSFERABLE: La innovación democrática portuguesa no es transferible sin un puente comparativo al Perú.</x:v>
      </x:c>
      <x:c r="U43" s="57"/>
      <x:c r="V43" s="57"/>
      <x:c r="W43" s="57"/>
      <x:c r="X43" s="57"/>
      <x:c r="Y43" s="57"/>
      <x:c r="Z43" s="57"/>
      <x:c r="AA43" s="57"/>
      <x:c r="AB43" s="57" t="str">
        <x:v>none; bibliographic evidence does not modify model parameters automatically</x:v>
      </x:c>
      <x:c r="AC43" s="57" t="str">
        <x:v>Support corpus for an original article; not a systematic-review outcome.</x:v>
      </x:c>
    </x:row>
    <x:row r="44" ht="15" hidden="0" customHeight="1">
      <x:c r="A44" s="58" t="str">
        <x:v>R000543</x:v>
      </x:c>
      <x:c r="B44" s="58" t="n">
        <x:v>1</x:v>
      </x:c>
      <x:c r="C44" s="58" t="str">
        <x:v>provisional_include</x:v>
      </x:c>
      <x:c r="D44" s="58" t="str">
        <x:v>Mi comprensión de la democracia: un resumen</x:v>
      </x:c>
      <x:c r="E44" s="58" t="str">
        <x:v>Przeworski A.</x:v>
      </x:c>
      <x:c r="F44" s="58" t="n">
        <x:v>2026</x:v>
      </x:c>
      <x:c r="G44" s="58" t="str">
        <x:v>Estudios Sociologicos</x:v>
      </x:c>
      <x:c r="H44" s="58" t="str">
        <x:v>scopus</x:v>
      </x:c>
      <x:c r="I44" s="58" t="str">
        <x:v>module_D_es</x:v>
      </x:c>
      <x:c r="J44" s="58" t="str">
        <x:v>10.24201/es.2026v44.e3079</x:v>
      </x:c>
      <x:c r="K44" s="58" t="str">
        <x:v>https://api.elsevier.com/content/abstract/scopus_id/105044014210</x:v>
      </x:c>
      <x:c r="L44" s="58" t="str">
        <x:v>https://estudiossociologicos.colmex.mx/index.php/es/article/download/3079/3076</x:v>
      </x:c>
      <x:c r="M44" s="58" t="str">
        <x:v>retrieved</x:v>
      </x:c>
      <x:c r="N44" s="58" t="str">
        <x:v>drive_open_access</x:v>
      </x:c>
      <x:c r="O44" s="58" t="str">
        <x:v>Google Drive OA folder; local extraction drive_13.txt</x:v>
      </x:c>
      <x:c r="P44" s="58" t="str">
        <x:v>passed</x:v>
      </x:c>
      <x:c r="Q44" s="58" t="str">
        <x:v>yes</x:v>
      </x:c>
      <x:c r="R44" s="58" t="str">
        <x:v>eligible</x:v>
      </x:c>
      <x:c r="S44" s="58" t="str">
        <x:v>included</x:v>
      </x:c>
      <x:c r="T44" s="58"/>
      <x:c r="U44" s="58" t="str">
        <x:v>AACODS</x:v>
      </x:c>
      <x:c r="V44" s="58" t="str">
        <x:v>alta</x:v>
      </x:c>
      <x:c r="W44" s="58" t="str">
        <x:v>Introducción</x:v>
      </x:c>
      <x:c r="X44" s="58" t="str">
        <x:v>definición de democracia</x:v>
      </x:c>
      <x:c r="Y44" s="58" t="str">
        <x:v>conceptual</x:v>
      </x:c>
      <x:c r="Z44" s="58" t="str">
        <x:v>transversal</x:v>
      </x:c>
      <x:c r="AA44" s="58" t="str">
        <x:v>La democracia se delimita como competencia, participación y restricciones al poder.</x:v>
      </x:c>
      <x:c r="AB44" s="58" t="str">
        <x:v>none; bibliographic evidence does not modify model parameters automatically</x:v>
      </x:c>
      <x:c r="AC44" s="58" t="str">
        <x:v>Support corpus for an original article; not a systematic-review outcome.</x:v>
      </x:c>
    </x:row>
    <x:row r="45" ht="15" hidden="0" customHeight="1">
      <x:c r="A45" s="57" t="str">
        <x:v>R000544</x:v>
      </x:c>
      <x:c r="B45" s="57" t="n">
        <x:v>1</x:v>
      </x:c>
      <x:c r="C45" s="57" t="str">
        <x:v>provisional_include</x:v>
      </x:c>
      <x:c r="D45" s="57" t="str">
        <x:v>Large Language Models for Designing Participatory Budgeting Rules</x:v>
      </x:c>
      <x:c r="E45" s="57" t="str">
        <x:v>Thach N.</x:v>
      </x:c>
      <x:c r="F45" s="57" t="n">
        <x:v>2026</x:v>
      </x:c>
      <x:c r="G45" s="57" t="str">
        <x:v>Aamas 2026 Proceedings of the 25th International Conference on Autonomous Agents and Multiagent Systems</x:v>
      </x:c>
      <x:c r="H45" s="57" t="str">
        <x:v>scopus</x:v>
      </x:c>
      <x:c r="I45" s="57" t="str">
        <x:v>module_D_es</x:v>
      </x:c>
      <x:c r="J45" s="57" t="str">
        <x:v>10.65109/lgep3560</x:v>
      </x:c>
      <x:c r="K45" s="57" t="str">
        <x:v>https://api.elsevier.com/content/abstract/scopus_id/105041395589</x:v>
      </x:c>
      <x:c r="L45" s="57" t="str">
        <x:v>https://doi.org/10.65109/lgep3560</x:v>
      </x:c>
      <x:c r="M45" s="57" t="str">
        <x:v>retrieved</x:v>
      </x:c>
      <x:c r="N45" s="57" t="str">
        <x:v>drive_open_access</x:v>
      </x:c>
      <x:c r="O45" s="57" t="str">
        <x:v>Google Drive OA folder; local extraction drive_14.txt</x:v>
      </x:c>
      <x:c r="P45" s="57" t="str">
        <x:v>passed</x:v>
      </x:c>
      <x:c r="Q45" s="57" t="str">
        <x:v>yes</x:v>
      </x:c>
      <x:c r="R45" s="57" t="str">
        <x:v>excluded_after_fulltext</x:v>
      </x:c>
      <x:c r="S45" s="57" t="str">
        <x:v>excluded</x:v>
      </x:c>
      <x:c r="T45" s="57" t="str">
        <x:v>EXC_NO_DIRECT_CONTRIBUTION_TO_ORIGINAL_ARTICLE: La aplicación de LLM al presupuesto participativo no se vincula con las variables del visor.</x:v>
      </x:c>
      <x:c r="U45" s="57"/>
      <x:c r="V45" s="57"/>
      <x:c r="W45" s="57"/>
      <x:c r="X45" s="57"/>
      <x:c r="Y45" s="57"/>
      <x:c r="Z45" s="57"/>
      <x:c r="AA45" s="57"/>
      <x:c r="AB45" s="57" t="str">
        <x:v>none; bibliographic evidence does not modify model parameters automatically</x:v>
      </x:c>
      <x:c r="AC45" s="57" t="str">
        <x:v>Support corpus for an original article; not a systematic-review outcome.</x:v>
      </x:c>
    </x:row>
    <x:row r="46" ht="15" hidden="0" customHeight="1">
      <x:c r="A46" s="58" t="str">
        <x:v>R000567</x:v>
      </x:c>
      <x:c r="B46" s="58" t="n">
        <x:v>1</x:v>
      </x:c>
      <x:c r="C46" s="58" t="str">
        <x:v>provisional_include</x:v>
      </x:c>
      <x:c r="D46" s="58" t="str">
        <x:v>Is national governance important for economic growth?</x:v>
      </x:c>
      <x:c r="E46" s="58" t="str">
        <x:v>dos Santos T.M.</x:v>
      </x:c>
      <x:c r="F46" s="58" t="n">
        <x:v>2026</x:v>
      </x:c>
      <x:c r="G46" s="58" t="str">
        <x:v>Revista De Administracao Publica</x:v>
      </x:c>
      <x:c r="H46" s="58" t="str">
        <x:v>scopus</x:v>
      </x:c>
      <x:c r="I46" s="58" t="str">
        <x:v>module_D_pt</x:v>
      </x:c>
      <x:c r="J46" s="58" t="str">
        <x:v>10.1590/0034-761220250224x</x:v>
      </x:c>
      <x:c r="K46" s="58" t="str">
        <x:v>https://api.elsevier.com/content/abstract/scopus_id/105034806404</x:v>
      </x:c>
      <x:c r="L46" s="58" t="str">
        <x:v>https://doi.org/10.1590/0034-761220250224x</x:v>
      </x:c>
      <x:c r="M46" s="58" t="str">
        <x:v>retrieved</x:v>
      </x:c>
      <x:c r="N46" s="58" t="str">
        <x:v>drive_open_access</x:v>
      </x:c>
      <x:c r="O46" s="58" t="str">
        <x:v>Google Drive OA folder; local extraction drive_16.txt</x:v>
      </x:c>
      <x:c r="P46" s="58" t="str">
        <x:v>passed</x:v>
      </x:c>
      <x:c r="Q46" s="58" t="str">
        <x:v>yes</x:v>
      </x:c>
      <x:c r="R46" s="58" t="str">
        <x:v>excluded_after_fulltext</x:v>
      </x:c>
      <x:c r="S46" s="58" t="str">
        <x:v>excluded</x:v>
      </x:c>
      <x:c r="T46" s="58" t="str">
        <x:v>EXC_WRONG_CONSTRUCT_OR_OUTCOME: El resultado principal es crecimiento económico, no erosión o calidad democrática.</x:v>
      </x:c>
      <x:c r="U46" s="58"/>
      <x:c r="V46" s="58"/>
      <x:c r="W46" s="58"/>
      <x:c r="X46" s="58"/>
      <x:c r="Y46" s="58"/>
      <x:c r="Z46" s="58"/>
      <x:c r="AA46" s="58"/>
      <x:c r="AB46" s="58" t="str">
        <x:v>none; bibliographic evidence does not modify model parameters automatically</x:v>
      </x:c>
      <x:c r="AC46" s="58" t="str">
        <x:v>Support corpus for an original article; not a systematic-review outcome.</x:v>
      </x:c>
    </x:row>
    <x:row r="47" ht="15" hidden="0" customHeight="1">
      <x:c r="A47" s="57" t="str">
        <x:v>R000569</x:v>
      </x:c>
      <x:c r="B47" s="57" t="n">
        <x:v>1</x:v>
      </x:c>
      <x:c r="C47" s="57" t="str">
        <x:v>provisional_include</x:v>
      </x:c>
      <x:c r="D47" s="57" t="str">
        <x:v>Participatory foresight in subnational policy processes: two experiences in Peru</x:v>
      </x:c>
      <x:c r="E47" s="57" t="str">
        <x:v>Alcalde G.</x:v>
      </x:c>
      <x:c r="F47" s="57" t="n">
        <x:v>2026</x:v>
      </x:c>
      <x:c r="G47" s="57" t="str">
        <x:v>Foresight</x:v>
      </x:c>
      <x:c r="H47" s="57" t="str">
        <x:v>scopus</x:v>
      </x:c>
      <x:c r="I47" s="57" t="str">
        <x:v>module_D_pt</x:v>
      </x:c>
      <x:c r="J47" s="57" t="str">
        <x:v>10.1108/fs-08-2025-0177</x:v>
      </x:c>
      <x:c r="K47" s="57" t="str">
        <x:v>https://api.elsevier.com/content/abstract/scopus_id/105037594457</x:v>
      </x:c>
      <x:c r="L47" s="57" t="str">
        <x:v>https://doi.org/10.1108/fs-08-2025-0177</x:v>
      </x:c>
      <x:c r="M47" s="57" t="str">
        <x:v>not_retrieved</x:v>
      </x:c>
      <x:c r="N47" s="57" t="str">
        <x:v>abstract_or_metadata_only</x:v>
      </x:c>
      <x:c r="O47" s="57" t="str">
        <x:v>Resumen o metadatos localizados, pero el texto completo legal no estuvo disponible.</x:v>
      </x:c>
      <x:c r="P47" s="57" t="str">
        <x:v>not_applicable</x:v>
      </x:c>
      <x:c r="Q47" s="57" t="str">
        <x:v>no</x:v>
      </x:c>
      <x:c r="R47" s="57" t="str">
        <x:v>not_assessed_fulltext</x:v>
      </x:c>
      <x:c r="S47" s="57" t="str">
        <x:v>not_retrieved</x:v>
      </x:c>
      <x:c r="T47" s="57" t="str">
        <x:v>NR_FULLTEXT_UNAVAILABLE</x:v>
      </x:c>
      <x:c r="U47" s="57"/>
      <x:c r="V47" s="57"/>
      <x:c r="W47" s="57"/>
      <x:c r="X47" s="57"/>
      <x:c r="Y47" s="57"/>
      <x:c r="Z47" s="57"/>
      <x:c r="AA47" s="57"/>
      <x:c r="AB47" s="57" t="str">
        <x:v>none; bibliographic evidence does not modify model parameters automatically</x:v>
      </x:c>
      <x:c r="AC47" s="57" t="str">
        <x:v>Support corpus for an original article; not a systematic-review outcome.</x:v>
      </x:c>
    </x:row>
    <x:row r="48" ht="15" hidden="0" customHeight="1">
      <x:c r="A48" s="58" t="str">
        <x:v>R000575</x:v>
      </x:c>
      <x:c r="B48" s="58" t="n">
        <x:v>1</x:v>
      </x:c>
      <x:c r="C48" s="58" t="str">
        <x:v>provisional_include</x:v>
      </x:c>
      <x:c r="D48" s="58" t="str">
        <x:v>Toward a decolonial One Health: Findings from a participatory action research initiative with indigenous, Campesino, and Afro-descendant communities in the Amazon</x:v>
      </x:c>
      <x:c r="E48" s="58" t="str">
        <x:v>Méndez-Paz F.</x:v>
      </x:c>
      <x:c r="F48" s="58" t="n">
        <x:v>2026</x:v>
      </x:c>
      <x:c r="G48" s="58" t="str">
        <x:v>One Health</x:v>
      </x:c>
      <x:c r="H48" s="58" t="str">
        <x:v>scopus</x:v>
      </x:c>
      <x:c r="I48" s="58" t="str">
        <x:v>module_E_en</x:v>
      </x:c>
      <x:c r="J48" s="58" t="str">
        <x:v>10.1016/j.onehlt.2026.101476</x:v>
      </x:c>
      <x:c r="K48" s="58" t="str">
        <x:v>https://api.elsevier.com/content/abstract/scopus_id/105042569556</x:v>
      </x:c>
      <x:c r="L48" s="58" t="str">
        <x:v>https://doi.org/10.1016/j.onehlt.2026.101476</x:v>
      </x:c>
      <x:c r="M48" s="58" t="str">
        <x:v>retrieved</x:v>
      </x:c>
      <x:c r="N48" s="58" t="str">
        <x:v>drive_open_access</x:v>
      </x:c>
      <x:c r="O48" s="58" t="str">
        <x:v>Google Drive OA folder; local extraction drive_03.txt</x:v>
      </x:c>
      <x:c r="P48" s="58" t="str">
        <x:v>passed</x:v>
      </x:c>
      <x:c r="Q48" s="58" t="str">
        <x:v>yes</x:v>
      </x:c>
      <x:c r="R48" s="58" t="str">
        <x:v>excluded_after_fulltext</x:v>
      </x:c>
      <x:c r="S48" s="58" t="str">
        <x:v>excluded</x:v>
      </x:c>
      <x:c r="T48" s="58" t="str">
        <x:v>EXC_NO_DIRECT_CONTRIBUTION_TO_ORIGINAL_ARTICLE: El enfoque One Health no ofrece evidencia pertinente para el corpus del artículo.</x:v>
      </x:c>
      <x:c r="U48" s="58"/>
      <x:c r="V48" s="58"/>
      <x:c r="W48" s="58"/>
      <x:c r="X48" s="58"/>
      <x:c r="Y48" s="58"/>
      <x:c r="Z48" s="58"/>
      <x:c r="AA48" s="58"/>
      <x:c r="AB48" s="58" t="str">
        <x:v>none; bibliographic evidence does not modify model parameters automatically</x:v>
      </x:c>
      <x:c r="AC48" s="58" t="str">
        <x:v>Support corpus for an original article; not a systematic-review outcome.</x:v>
      </x:c>
    </x:row>
    <x:row r="49" ht="15" hidden="0" customHeight="1">
      <x:c r="A49" s="57" t="str">
        <x:v>R000593</x:v>
      </x:c>
      <x:c r="B49" s="57" t="n">
        <x:v>1</x:v>
      </x:c>
      <x:c r="C49" s="57" t="str">
        <x:v>provisional_include</x:v>
      </x:c>
      <x:c r="D49" s="57" t="str">
        <x:v>The Indigenous land titling trap: adaptive practices and the limits of climate governance</x:v>
      </x:c>
      <x:c r="E49" s="57" t="str">
        <x:v>Paredes M.</x:v>
      </x:c>
      <x:c r="F49" s="57" t="n">
        <x:v>2026</x:v>
      </x:c>
      <x:c r="G49" s="57" t="str">
        <x:v>World Development</x:v>
      </x:c>
      <x:c r="H49" s="57" t="str">
        <x:v>scopus</x:v>
      </x:c>
      <x:c r="I49" s="57" t="str">
        <x:v>module_E_en</x:v>
      </x:c>
      <x:c r="J49" s="57" t="str">
        <x:v>10.1016/j.worlddev.2026.107429</x:v>
      </x:c>
      <x:c r="K49" s="57" t="str">
        <x:v>https://api.elsevier.com/content/abstract/scopus_id/105036040644</x:v>
      </x:c>
      <x:c r="L49" s="57" t="str">
        <x:v>https://doi.org/10.1016/j.worlddev.2026.107429</x:v>
      </x:c>
      <x:c r="M49" s="57" t="str">
        <x:v>retrieved</x:v>
      </x:c>
      <x:c r="N49" s="57" t="str">
        <x:v>drive_open_access</x:v>
      </x:c>
      <x:c r="O49" s="57" t="str">
        <x:v>Google Drive OA folder; local extraction drive_04.txt</x:v>
      </x:c>
      <x:c r="P49" s="57" t="str">
        <x:v>passed</x:v>
      </x:c>
      <x:c r="Q49" s="57" t="str">
        <x:v>yes</x:v>
      </x:c>
      <x:c r="R49" s="57" t="str">
        <x:v>excluded_after_fulltext</x:v>
      </x:c>
      <x:c r="S49" s="57" t="str">
        <x:v>excluded</x:v>
      </x:c>
      <x:c r="T49" s="57" t="str">
        <x:v>EXC_NO_DIRECT_CONTRIBUTION_TO_ORIGINAL_ARTICLE: La titulación de tierras indígenas no se conecta de modo directo con los resultados analizados.</x:v>
      </x:c>
      <x:c r="U49" s="57"/>
      <x:c r="V49" s="57"/>
      <x:c r="W49" s="57"/>
      <x:c r="X49" s="57"/>
      <x:c r="Y49" s="57"/>
      <x:c r="Z49" s="57"/>
      <x:c r="AA49" s="57"/>
      <x:c r="AB49" s="57" t="str">
        <x:v>none; bibliographic evidence does not modify model parameters automatically</x:v>
      </x:c>
      <x:c r="AC49" s="57" t="str">
        <x:v>Support corpus for an original article; not a systematic-review outcome.</x:v>
      </x:c>
    </x:row>
    <x:row r="50" ht="15" hidden="0" customHeight="1">
      <x:c r="A50" s="58" t="str">
        <x:v>R000645</x:v>
      </x:c>
      <x:c r="B50" s="58" t="n">
        <x:v>1</x:v>
      </x:c>
      <x:c r="C50" s="58" t="str">
        <x:v>provisional_include</x:v>
      </x:c>
      <x:c r="D50" s="58" t="str">
        <x:v>Profissionais da justiça e da segurança pública, conservadorismo e erosão democrática</x:v>
      </x:c>
      <x:c r="E50" s="58" t="str">
        <x:v>Maria da Gloria Bonelli</x:v>
      </x:c>
      <x:c r="F50" s="58" t="n">
        <x:v>2026</x:v>
      </x:c>
      <x:c r="G50" s="58"/>
      <x:c r="H50" s="58" t="str">
        <x:v>scielo</x:v>
      </x:c>
      <x:c r="I50" s="58" t="str">
        <x:v>module_A_pt</x:v>
      </x:c>
      <x:c r="J50" s="58" t="str">
        <x:v>10.1590/scielopreprints.17594</x:v>
      </x:c>
      <x:c r="K50" s="58" t="str">
        <x:v>https://doi.org/10.1590/scielopreprints.17594</x:v>
      </x:c>
      <x:c r="L50" s="58" t="str">
        <x:v>https://doi.org/10.1590/scielopreprints.17594</x:v>
      </x:c>
      <x:c r="M50" s="58" t="str">
        <x:v>retrieved</x:v>
      </x:c>
      <x:c r="N50" s="58" t="str">
        <x:v>drive_open_access</x:v>
      </x:c>
      <x:c r="O50" s="58" t="str">
        <x:v>Google Drive OA folder; local extraction drive_09.txt</x:v>
      </x:c>
      <x:c r="P50" s="58" t="str">
        <x:v>passed</x:v>
      </x:c>
      <x:c r="Q50" s="58" t="str">
        <x:v>yes</x:v>
      </x:c>
      <x:c r="R50" s="58" t="str">
        <x:v>eligible</x:v>
      </x:c>
      <x:c r="S50" s="58" t="str">
        <x:v>included</x:v>
      </x:c>
      <x:c r="T50" s="58"/>
      <x:c r="U50" s="58" t="str">
        <x:v>MMAT_2018</x:v>
      </x:c>
      <x:c r="V50" s="58" t="str">
        <x:v>alta</x:v>
      </x:c>
      <x:c r="W50" s="58" t="str">
        <x:v>Discusión</x:v>
      </x:c>
      <x:c r="X50" s="58" t="str">
        <x:v>justicia, seguridad y erosión</x:v>
      </x:c>
      <x:c r="Y50" s="58" t="str">
        <x:v>funcionamiento_gobierno</x:v>
      </x:c>
      <x:c r="Z50" s="58" t="str">
        <x:v>restrictivo</x:v>
      </x:c>
      <x:c r="AA50" s="58" t="str">
        <x:v>La actuación de élites jurídicas y de seguridad es relevante para los contrapesos democráticos.</x:v>
      </x:c>
      <x:c r="AB50" s="58" t="str">
        <x:v>none; bibliographic evidence does not modify model parameters automatically</x:v>
      </x:c>
      <x:c r="AC50" s="58" t="str">
        <x:v>Support corpus for an original article; not a systematic-review outcome.</x:v>
      </x:c>
    </x:row>
    <x:row r="51" ht="15" hidden="0" customHeight="1">
      <x:c r="A51" s="57" t="str">
        <x:v>R000059</x:v>
      </x:c>
      <x:c r="B51" s="57" t="n">
        <x:v>2</x:v>
      </x:c>
      <x:c r="C51" s="57" t="str">
        <x:v>uncertain</x:v>
      </x:c>
      <x:c r="D51" s="57" t="str">
        <x:v>La calidad de la democracia en el Perú y en América Latina</x:v>
      </x:c>
      <x:c r="E51" s="57" t="str">
        <x:v>Martín Tanaka; Catalina Romero; Alberto Adrianzén; Steven Levitsky</x:v>
      </x:c>
      <x:c r="F51" s="57" t="n">
        <x:v>2011</x:v>
      </x:c>
      <x:c r="G51" s="57" t="str">
        <x:v>La democracia y sus instituciones en debate</x:v>
      </x:c>
      <x:c r="H51" s="57" t="str">
        <x:v>crossref</x:v>
      </x:c>
      <x:c r="I51" s="57" t="str">
        <x:v>module_A_es</x:v>
      </x:c>
      <x:c r="J51" s="57" t="str">
        <x:v>10.18800/9789972429774.009</x:v>
      </x:c>
      <x:c r="K51" s="57" t="str">
        <x:v>https://doi.org/10.18800/9789972429774.009</x:v>
      </x:c>
      <x:c r="L51" s="57" t="str">
        <x:v>https://repositorio.pucp.edu.pe/bitstreams/180f762d-e0db-4d84-b5e2-bfe3be29002d/download</x:v>
      </x:c>
      <x:c r="M51" s="57" t="str">
        <x:v>retrieved</x:v>
      </x:c>
      <x:c r="N51" s="57" t="str">
        <x:v>legal_open_web</x:v>
      </x:c>
      <x:c r="O51" s="57" t="str">
        <x:v>PUCP_repository_fulltext</x:v>
      </x:c>
      <x:c r="P51" s="57" t="str">
        <x:v>passed</x:v>
      </x:c>
      <x:c r="Q51" s="57" t="str">
        <x:v>yes</x:v>
      </x:c>
      <x:c r="R51" s="57" t="str">
        <x:v>eligible</x:v>
      </x:c>
      <x:c r="S51" s="57" t="str">
        <x:v>included</x:v>
      </x:c>
      <x:c r="T51" s="57"/>
      <x:c r="U51" s="57" t="str">
        <x:v>AACODS</x:v>
      </x:c>
      <x:c r="V51" s="57" t="str">
        <x:v>alta</x:v>
      </x:c>
      <x:c r="W51" s="57" t="str">
        <x:v>Introducción y discusión</x:v>
      </x:c>
      <x:c r="X51" s="57" t="str">
        <x:v>trayectoria peruana de calidad democrática</x:v>
      </x:c>
      <x:c r="Y51" s="57" t="str">
        <x:v>medición_multidimensional</x:v>
      </x:c>
      <x:c r="Z51" s="57" t="str">
        <x:v>transversal</x:v>
      </x:c>
      <x:c r="AA51" s="57" t="str">
        <x:v>La calidad democrática peruana debe leerse dentro de su trayectoria institucional y regional.</x:v>
      </x:c>
      <x:c r="AB51" s="57" t="str">
        <x:v>none; bibliographic evidence does not modify model parameters automatically</x:v>
      </x:c>
      <x:c r="AC51" s="57" t="str">
        <x:v>Support corpus for an original article; not a systematic-review outcome.</x:v>
      </x:c>
    </x:row>
    <x:row r="52" ht="15" hidden="0" customHeight="1">
      <x:c r="A52" s="58" t="str">
        <x:v>R000065</x:v>
      </x:c>
      <x:c r="B52" s="58" t="n">
        <x:v>2</x:v>
      </x:c>
      <x:c r="C52" s="58" t="str">
        <x:v>uncertain</x:v>
      </x:c>
      <x:c r="D52" s="58" t="str">
        <x:v>Luces y sombras de la calidad de la democracia en América Latina</x:v>
      </x:c>
      <x:c r="E52" s="58" t="str">
        <x:v>Manuel Alcántara Saéz</x:v>
      </x:c>
      <x:c r="F52" s="58" t="n">
        <x:v>2007</x:v>
      </x:c>
      <x:c r="G52" s="58" t="str">
        <x:v>Revista Oficial del Poder Judicial. Órgano de Investigación de la Corte Suprema de Justicia de la República del Perú</x:v>
      </x:c>
      <x:c r="H52" s="58" t="str">
        <x:v>crossref</x:v>
      </x:c>
      <x:c r="I52" s="58" t="str">
        <x:v>module_A_es</x:v>
      </x:c>
      <x:c r="J52" s="58" t="str">
        <x:v>10.35292/ropj.v2i2.154</x:v>
      </x:c>
      <x:c r="K52" s="58" t="str">
        <x:v>https://doi.org/10.35292/ropj.v2i2.154</x:v>
      </x:c>
      <x:c r="L52" s="58" t="str">
        <x:v>https://doi.org/10.35292/ropj.v2i2.154</x:v>
      </x:c>
      <x:c r="M52" s="58" t="str">
        <x:v>retrieved</x:v>
      </x:c>
      <x:c r="N52" s="58" t="str">
        <x:v>legal_open_web</x:v>
      </x:c>
      <x:c r="O52" s="58" t="str">
        <x:v>OA_pdf</x:v>
      </x:c>
      <x:c r="P52" s="58" t="str">
        <x:v>passed</x:v>
      </x:c>
      <x:c r="Q52" s="58" t="str">
        <x:v>yes</x:v>
      </x:c>
      <x:c r="R52" s="58" t="str">
        <x:v>eligible</x:v>
      </x:c>
      <x:c r="S52" s="58" t="str">
        <x:v>included</x:v>
      </x:c>
      <x:c r="T52" s="58"/>
      <x:c r="U52" s="58" t="str">
        <x:v>METHOD_RELEVANCE</x:v>
      </x:c>
      <x:c r="V52" s="58" t="str">
        <x:v>alta</x:v>
      </x:c>
      <x:c r="W52" s="58" t="str">
        <x:v>Métodos y limitaciones</x:v>
      </x:c>
      <x:c r="X52" s="58" t="str">
        <x:v>comparación de índices</x:v>
      </x:c>
      <x:c r="Y52" s="58" t="str">
        <x:v>medición_multidimensional</x:v>
      </x:c>
      <x:c r="Z52" s="58" t="str">
        <x:v>transversal</x:v>
      </x:c>
      <x:c r="AA52" s="58" t="str">
        <x:v>Los índices de democracia difieren en concepto, fuentes y agregación.</x:v>
      </x:c>
      <x:c r="AB52" s="58" t="str">
        <x:v>none; bibliographic evidence does not modify model parameters automatically</x:v>
      </x:c>
      <x:c r="AC52" s="58" t="str">
        <x:v>Support corpus for an original article; not a systematic-review outcome.</x:v>
      </x:c>
    </x:row>
    <x:row r="53" ht="15" hidden="0" customHeight="1">
      <x:c r="A53" s="57" t="str">
        <x:v>R000071</x:v>
      </x:c>
      <x:c r="B53" s="57" t="n">
        <x:v>2</x:v>
      </x:c>
      <x:c r="C53" s="57" t="str">
        <x:v>uncertain</x:v>
      </x:c>
      <x:c r="D53" s="57" t="str">
        <x:v>DESCONSOLIDAÇÃO DEMOCRÁTICA NA AMÉRICA LATINA</x:v>
      </x:c>
      <x:c r="E53" s="57" t="str">
        <x:v>Fidel Terenciano</x:v>
      </x:c>
      <x:c r="F53" s="57" t="n">
        <x:v>2018</x:v>
      </x:c>
      <x:c r="G53" s="57" t="str">
        <x:v>Democracia na América Latina</x:v>
      </x:c>
      <x:c r="H53" s="57" t="str">
        <x:v>crossref</x:v>
      </x:c>
      <x:c r="I53" s="57" t="str">
        <x:v>module_A_pt</x:v>
      </x:c>
      <x:c r="J53" s="57" t="str">
        <x:v>10.2307/j.ctvn96fr4.11</x:v>
      </x:c>
      <x:c r="K53" s="57" t="str">
        <x:v>https://doi.org/10.2307/j.ctvn96fr4.11</x:v>
      </x:c>
      <x:c r="L53" s="57" t="str">
        <x:v>https://doi.org/10.2307/j.ctvn96fr4.11</x:v>
      </x:c>
      <x:c r="M53" s="57" t="str">
        <x:v>retrieved</x:v>
      </x:c>
      <x:c r="N53" s="57" t="str">
        <x:v>legal_open_web</x:v>
      </x:c>
      <x:c r="O53" s="57" t="str">
        <x:v>JSTOR_OA_XML</x:v>
      </x:c>
      <x:c r="P53" s="57" t="str">
        <x:v>passed</x:v>
      </x:c>
      <x:c r="Q53" s="57" t="str">
        <x:v>yes</x:v>
      </x:c>
      <x:c r="R53" s="57" t="str">
        <x:v>eligible</x:v>
      </x:c>
      <x:c r="S53" s="57" t="str">
        <x:v>included</x:v>
      </x:c>
      <x:c r="T53" s="57"/>
      <x:c r="U53" s="57" t="str">
        <x:v>AACODS</x:v>
      </x:c>
      <x:c r="V53" s="57" t="str">
        <x:v>alta</x:v>
      </x:c>
      <x:c r="W53" s="57" t="str">
        <x:v>Introducción y discusión</x:v>
      </x:c>
      <x:c r="X53" s="57" t="str">
        <x:v>desconsolidación latinoamericana</x:v>
      </x:c>
      <x:c r="Y53" s="57" t="str">
        <x:v>contexto_regional</x:v>
      </x:c>
      <x:c r="Z53" s="57" t="str">
        <x:v>restrictivo</x:v>
      </x:c>
      <x:c r="AA53" s="57" t="str">
        <x:v>La desconsolidación democrática latinoamericana ofrece el marco regional del caso peruano.</x:v>
      </x:c>
      <x:c r="AB53" s="57" t="str">
        <x:v>none; bibliographic evidence does not modify model parameters automatically</x:v>
      </x:c>
      <x:c r="AC53" s="57" t="str">
        <x:v>Support corpus for an original article; not a systematic-review outcome.</x:v>
      </x:c>
    </x:row>
    <x:row r="54" ht="15" hidden="0" customHeight="1">
      <x:c r="A54" s="58" t="str">
        <x:v>R000072</x:v>
      </x:c>
      <x:c r="B54" s="58" t="n">
        <x:v>2</x:v>
      </x:c>
      <x:c r="C54" s="58" t="str">
        <x:v>uncertain</x:v>
      </x:c>
      <x:c r="D54" s="58" t="str">
        <x:v>Democracia, desigualdades e corrupção: uma análise da qualidade democrática na América latina.</x:v>
      </x:c>
      <x:c r="E54" s="58" t="str">
        <x:v>Maria Salete Souza de Amorim</x:v>
      </x:c>
      <x:c r="F54" s="58" t="n">
        <x:v>2015</x:v>
      </x:c>
      <x:c r="G54" s="58" t="str">
        <x:v>Século XXI – Revista de Ciências Sociais</x:v>
      </x:c>
      <x:c r="H54" s="58" t="str">
        <x:v>crossref</x:v>
      </x:c>
      <x:c r="I54" s="58" t="str">
        <x:v>module_A_pt</x:v>
      </x:c>
      <x:c r="J54" s="58" t="str">
        <x:v>10.5902/2236672521590</x:v>
      </x:c>
      <x:c r="K54" s="58" t="str">
        <x:v>https://doi.org/10.5902/2236672521590</x:v>
      </x:c>
      <x:c r="L54" s="58" t="str">
        <x:v>https://periodicos.ufsm.br/seculoxxi/article/download/21590/13113</x:v>
      </x:c>
      <x:c r="M54" s="58" t="str">
        <x:v>retrieved</x:v>
      </x:c>
      <x:c r="N54" s="58" t="str">
        <x:v>legal_open_web</x:v>
      </x:c>
      <x:c r="O54" s="58" t="str">
        <x:v>OA_pdf</x:v>
      </x:c>
      <x:c r="P54" s="58" t="str">
        <x:v>passed</x:v>
      </x:c>
      <x:c r="Q54" s="58" t="str">
        <x:v>yes</x:v>
      </x:c>
      <x:c r="R54" s="58" t="str">
        <x:v>eligible</x:v>
      </x:c>
      <x:c r="S54" s="58" t="str">
        <x:v>included</x:v>
      </x:c>
      <x:c r="T54" s="58"/>
      <x:c r="U54" s="58" t="str">
        <x:v>MMAT_2018</x:v>
      </x:c>
      <x:c r="V54" s="58" t="str">
        <x:v>moderada</x:v>
      </x:c>
      <x:c r="W54" s="58" t="str">
        <x:v>Discusión</x:v>
      </x:c>
      <x:c r="X54" s="58" t="str">
        <x:v>desigualdad y corrupción</x:v>
      </x:c>
      <x:c r="Y54" s="58" t="str">
        <x:v>funcionamiento_gobierno</x:v>
      </x:c>
      <x:c r="Z54" s="58" t="str">
        <x:v>continuidad</x:v>
      </x:c>
      <x:c r="AA54" s="58" t="str">
        <x:v>Desigualdad y corrupción condicionan desempeño institucional y apoyo democrático.</x:v>
      </x:c>
      <x:c r="AB54" s="58" t="str">
        <x:v>none; bibliographic evidence does not modify model parameters automatically</x:v>
      </x:c>
      <x:c r="AC54" s="58" t="str">
        <x:v>Support corpus for an original article; not a systematic-review outcome.</x:v>
      </x:c>
    </x:row>
    <x:row r="55" ht="15" hidden="0" customHeight="1">
      <x:c r="A55" s="57" t="str">
        <x:v>R000074</x:v>
      </x:c>
      <x:c r="B55" s="57" t="n">
        <x:v>2</x:v>
      </x:c>
      <x:c r="C55" s="57" t="str">
        <x:v>uncertain</x:v>
      </x:c>
      <x:c r="D55" s="57" t="str">
        <x:v>La controvertida democracia representativa</x:v>
      </x:c>
      <x:c r="E55" s="57" t="str">
        <x:v>Hugo Quiroga</x:v>
      </x:c>
      <x:c r="F55" s="57" t="n">
        <x:v>2019</x:v>
      </x:c>
      <x:c r="G55" s="57" t="str">
        <x:v>Elecciones y legitimidad democrática en América Latina</x:v>
      </x:c>
      <x:c r="H55" s="57" t="str">
        <x:v>crossref</x:v>
      </x:c>
      <x:c r="I55" s="57" t="str">
        <x:v>module_A_pt</x:v>
      </x:c>
      <x:c r="J55" s="57" t="str">
        <x:v>10.2307/j.ctvt6rkct.17</x:v>
      </x:c>
      <x:c r="K55" s="57" t="str">
        <x:v>https://doi.org/10.2307/j.ctvt6rkct.17</x:v>
      </x:c>
      <x:c r="L55" s="57" t="str">
        <x:v>https://doi.org/10.2307/j.ctvt6rkct.17</x:v>
      </x:c>
      <x:c r="M55" s="57" t="str">
        <x:v>retrieved</x:v>
      </x:c>
      <x:c r="N55" s="57" t="str">
        <x:v>legal_open_web</x:v>
      </x:c>
      <x:c r="O55" s="57" t="str">
        <x:v>OA_book_pdf</x:v>
      </x:c>
      <x:c r="P55" s="57" t="str">
        <x:v>passed</x:v>
      </x:c>
      <x:c r="Q55" s="57" t="str">
        <x:v>yes</x:v>
      </x:c>
      <x:c r="R55" s="57" t="str">
        <x:v>eligible</x:v>
      </x:c>
      <x:c r="S55" s="57" t="str">
        <x:v>included</x:v>
      </x:c>
      <x:c r="T55" s="57"/>
      <x:c r="U55" s="57" t="str">
        <x:v>AACODS</x:v>
      </x:c>
      <x:c r="V55" s="57" t="str">
        <x:v>alta</x:v>
      </x:c>
      <x:c r="W55" s="57" t="str">
        <x:v>Introducción</x:v>
      </x:c>
      <x:c r="X55" s="57" t="str">
        <x:v>democracia representativa</x:v>
      </x:c>
      <x:c r="Y55" s="57" t="str">
        <x:v>conceptual</x:v>
      </x:c>
      <x:c r="Z55" s="57" t="str">
        <x:v>transversal</x:v>
      </x:c>
      <x:c r="AA55" s="57" t="str">
        <x:v>La democracia representativa combina autorización electoral, control y rendición de cuentas.</x:v>
      </x:c>
      <x:c r="AB55" s="57" t="str">
        <x:v>none; bibliographic evidence does not modify model parameters automatically</x:v>
      </x:c>
      <x:c r="AC55" s="57" t="str">
        <x:v>Support corpus for an original article; not a systematic-review outcome.</x:v>
      </x:c>
    </x:row>
    <x:row r="56" ht="15" hidden="0" customHeight="1">
      <x:c r="A56" s="58" t="str">
        <x:v>R000079</x:v>
      </x:c>
      <x:c r="B56" s="58" t="n">
        <x:v>2</x:v>
      </x:c>
      <x:c r="C56" s="58" t="str">
        <x:v>uncertain</x:v>
      </x:c>
      <x:c r="D56" s="58" t="str">
        <x:v>Peru: Executive v Legislative Wars Amidst a Global Pandemic</x:v>
      </x:c>
      <x:c r="E56" s="58" t="str">
        <x:v>Trilce Valdivia</x:v>
      </x:c>
      <x:c r="F56" s="58" t="n">
        <x:v>2024</x:v>
      </x:c>
      <x:c r="G56" s="58" t="str">
        <x:v>Pandemocracy in Latin America</x:v>
      </x:c>
      <x:c r="H56" s="58" t="str">
        <x:v>crossref</x:v>
      </x:c>
      <x:c r="I56" s="58" t="str">
        <x:v>module_B_en</x:v>
      </x:c>
      <x:c r="J56" s="58" t="str">
        <x:v>10.5040/9781509965304.ch-007</x:v>
      </x:c>
      <x:c r="K56" s="58" t="str">
        <x:v>https://doi.org/10.5040/9781509965304.ch-007</x:v>
      </x:c>
      <x:c r="L56" s="58" t="str">
        <x:v>https://doi.org/10.5040/9781509965304.ch-007</x:v>
      </x:c>
      <x:c r="M56" s="58" t="str">
        <x:v>not_retrieved</x:v>
      </x:c>
      <x:c r="N56" s="58" t="str">
        <x:v>unavailable</x:v>
      </x:c>
      <x:c r="O56" s="58" t="str">
        <x:v>No se obtuvo texto completo verificable mediante Drive, repositorio o editor de acceso abierto.</x:v>
      </x:c>
      <x:c r="P56" s="58" t="str">
        <x:v>not_applicable</x:v>
      </x:c>
      <x:c r="Q56" s="58" t="str">
        <x:v>no</x:v>
      </x:c>
      <x:c r="R56" s="58" t="str">
        <x:v>not_assessed_fulltext</x:v>
      </x:c>
      <x:c r="S56" s="58" t="str">
        <x:v>not_retrieved</x:v>
      </x:c>
      <x:c r="T56" s="58" t="str">
        <x:v>NR_FULLTEXT_UNAVAILABLE</x:v>
      </x:c>
      <x:c r="U56" s="58"/>
      <x:c r="V56" s="58"/>
      <x:c r="W56" s="58"/>
      <x:c r="X56" s="58"/>
      <x:c r="Y56" s="58"/>
      <x:c r="Z56" s="58"/>
      <x:c r="AA56" s="58"/>
      <x:c r="AB56" s="58" t="str">
        <x:v>none; bibliographic evidence does not modify model parameters automatically</x:v>
      </x:c>
      <x:c r="AC56" s="58" t="str">
        <x:v>Support corpus for an original article; not a systematic-review outcome.</x:v>
      </x:c>
    </x:row>
    <x:row r="57" ht="15" hidden="0" customHeight="1">
      <x:c r="A57" s="57" t="str">
        <x:v>R000081</x:v>
      </x:c>
      <x:c r="B57" s="57" t="n">
        <x:v>2</x:v>
      </x:c>
      <x:c r="C57" s="57" t="str">
        <x:v>uncertain</x:v>
      </x:c>
      <x:c r="D57" s="57" t="str">
        <x:v>3 Peru</x:v>
      </x:c>
      <x:c r="E57" s="57"/>
      <x:c r="F57" s="57" t="n">
        <x:v>2024</x:v>
      </x:c>
      <x:c r="G57" s="57" t="str">
        <x:v>Why Presidents Fail</x:v>
      </x:c>
      <x:c r="H57" s="57" t="str">
        <x:v>crossref</x:v>
      </x:c>
      <x:c r="I57" s="57" t="str">
        <x:v>module_B_en</x:v>
      </x:c>
      <x:c r="J57" s="57" t="str">
        <x:v>10.1515/9781503639560-006</x:v>
      </x:c>
      <x:c r="K57" s="57" t="str">
        <x:v>https://doi.org/10.1515/9781503639560-006</x:v>
      </x:c>
      <x:c r="L57" s="57" t="str">
        <x:v>http://dx.doi.org/10.1515/9781503639560-006</x:v>
      </x:c>
      <x:c r="M57" s="57" t="str">
        <x:v>not_retrieved</x:v>
      </x:c>
      <x:c r="N57" s="57" t="str">
        <x:v>unavailable</x:v>
      </x:c>
      <x:c r="O57" s="57" t="str">
        <x:v>No se obtuvo texto completo verificable mediante Drive, repositorio o editor de acceso abierto.</x:v>
      </x:c>
      <x:c r="P57" s="57" t="str">
        <x:v>not_applicable</x:v>
      </x:c>
      <x:c r="Q57" s="57" t="str">
        <x:v>no</x:v>
      </x:c>
      <x:c r="R57" s="57" t="str">
        <x:v>not_assessed_fulltext</x:v>
      </x:c>
      <x:c r="S57" s="57" t="str">
        <x:v>not_retrieved</x:v>
      </x:c>
      <x:c r="T57" s="57" t="str">
        <x:v>NR_FULLTEXT_UNAVAILABLE</x:v>
      </x:c>
      <x:c r="U57" s="57"/>
      <x:c r="V57" s="57"/>
      <x:c r="W57" s="57"/>
      <x:c r="X57" s="57"/>
      <x:c r="Y57" s="57"/>
      <x:c r="Z57" s="57"/>
      <x:c r="AA57" s="57"/>
      <x:c r="AB57" s="57" t="str">
        <x:v>none; bibliographic evidence does not modify model parameters automatically</x:v>
      </x:c>
      <x:c r="AC57" s="57" t="str">
        <x:v>Support corpus for an original article; not a systematic-review outcome.</x:v>
      </x:c>
    </x:row>
    <x:row r="58" ht="15" hidden="0" customHeight="1">
      <x:c r="A58" s="58" t="str">
        <x:v>R000091</x:v>
      </x:c>
      <x:c r="B58" s="58" t="n">
        <x:v>2</x:v>
      </x:c>
      <x:c r="C58" s="58" t="str">
        <x:v>uncertain</x:v>
      </x:c>
      <x:c r="D58" s="58" t="str">
        <x:v>¿Participación ciudadana y cultura política en Colombia? Un contraste de las experiencias de la Asamblea Constituyente de Mogotes y del Proyecto Nasa del Cauca</x:v>
      </x:c>
      <x:c r="E58" s="58" t="str">
        <x:v>González Nidia Catherine</x:v>
      </x:c>
      <x:c r="F58" s="58" t="n">
        <x:v>2011</x:v>
      </x:c>
      <x:c r="G58" s="58" t="str">
        <x:v>Culturas políticas en la región andina</x:v>
      </x:c>
      <x:c r="H58" s="58" t="str">
        <x:v>crossref</x:v>
      </x:c>
      <x:c r="I58" s="58" t="str">
        <x:v>module_B_es</x:v>
      </x:c>
      <x:c r="J58" s="58" t="str">
        <x:v>10.31819/9783954871513-003</x:v>
      </x:c>
      <x:c r="K58" s="58" t="str">
        <x:v>https://doi.org/10.31819/9783954871513-003</x:v>
      </x:c>
      <x:c r="L58" s="58" t="str">
        <x:v>http://americanae.aecid.es/americanae/es/registros/registro.do?tipoRegistro=MTD&amp;idBib=1128835</x:v>
      </x:c>
      <x:c r="M58" s="58" t="str">
        <x:v>not_retrieved</x:v>
      </x:c>
      <x:c r="N58" s="58" t="str">
        <x:v>unavailable</x:v>
      </x:c>
      <x:c r="O58" s="58" t="str">
        <x:v>No se obtuvo texto completo verificable mediante Drive, repositorio o editor de acceso abierto.</x:v>
      </x:c>
      <x:c r="P58" s="58" t="str">
        <x:v>not_applicable</x:v>
      </x:c>
      <x:c r="Q58" s="58" t="str">
        <x:v>no</x:v>
      </x:c>
      <x:c r="R58" s="58" t="str">
        <x:v>not_assessed_fulltext</x:v>
      </x:c>
      <x:c r="S58" s="58" t="str">
        <x:v>not_retrieved</x:v>
      </x:c>
      <x:c r="T58" s="58" t="str">
        <x:v>NR_FULLTEXT_UNAVAILABLE</x:v>
      </x:c>
      <x:c r="U58" s="58"/>
      <x:c r="V58" s="58"/>
      <x:c r="W58" s="58"/>
      <x:c r="X58" s="58"/>
      <x:c r="Y58" s="58"/>
      <x:c r="Z58" s="58"/>
      <x:c r="AA58" s="58"/>
      <x:c r="AB58" s="58" t="str">
        <x:v>none; bibliographic evidence does not modify model parameters automatically</x:v>
      </x:c>
      <x:c r="AC58" s="58" t="str">
        <x:v>Support corpus for an original article; not a systematic-review outcome.</x:v>
      </x:c>
    </x:row>
    <x:row r="59" ht="15" hidden="0" customHeight="1">
      <x:c r="A59" s="57" t="str">
        <x:v>R000095</x:v>
      </x:c>
      <x:c r="B59" s="57" t="n">
        <x:v>2</x:v>
      </x:c>
      <x:c r="C59" s="57" t="str">
        <x:v>uncertain</x:v>
      </x:c>
      <x:c r="D59" s="57" t="str">
        <x:v>Política de vivienda, organización del espacio y participación ciudadana</x:v>
      </x:c>
      <x:c r="E59" s="57" t="str">
        <x:v>Martha Schteingart</x:v>
      </x:c>
      <x:c r="F59" s="57" t="n">
        <x:v>2019</x:v>
      </x:c>
      <x:c r="G59" s="57" t="str">
        <x:v>El derecho a la ciudad en América Latina</x:v>
      </x:c>
      <x:c r="H59" s="57" t="str">
        <x:v>crossref</x:v>
      </x:c>
      <x:c r="I59" s="57" t="str">
        <x:v>module_B_es</x:v>
      </x:c>
      <x:c r="J59" s="57" t="str">
        <x:v>10.2307/j.ctvt6rm0z.5</x:v>
      </x:c>
      <x:c r="K59" s="57" t="str">
        <x:v>https://doi.org/10.2307/j.ctvt6rm0z.5</x:v>
      </x:c>
      <x:c r="L59" s="57" t="str">
        <x:v>https://doi.org/10.2307/j.ctvt6rm0z.5</x:v>
      </x:c>
      <x:c r="M59" s="57" t="str">
        <x:v>not_retrieved</x:v>
      </x:c>
      <x:c r="N59" s="57" t="str">
        <x:v>unavailable</x:v>
      </x:c>
      <x:c r="O59" s="57" t="str">
        <x:v>No se obtuvo texto completo verificable mediante Drive, repositorio o editor de acceso abierto.</x:v>
      </x:c>
      <x:c r="P59" s="57" t="str">
        <x:v>not_applicable</x:v>
      </x:c>
      <x:c r="Q59" s="57" t="str">
        <x:v>no</x:v>
      </x:c>
      <x:c r="R59" s="57" t="str">
        <x:v>not_assessed_fulltext</x:v>
      </x:c>
      <x:c r="S59" s="57" t="str">
        <x:v>not_retrieved</x:v>
      </x:c>
      <x:c r="T59" s="57" t="str">
        <x:v>NR_FULLTEXT_UNAVAILABLE</x:v>
      </x:c>
      <x:c r="U59" s="57"/>
      <x:c r="V59" s="57"/>
      <x:c r="W59" s="57"/>
      <x:c r="X59" s="57"/>
      <x:c r="Y59" s="57"/>
      <x:c r="Z59" s="57"/>
      <x:c r="AA59" s="57"/>
      <x:c r="AB59" s="57" t="str">
        <x:v>none; bibliographic evidence does not modify model parameters automatically</x:v>
      </x:c>
      <x:c r="AC59" s="57" t="str">
        <x:v>Support corpus for an original article; not a systematic-review outcome.</x:v>
      </x:c>
    </x:row>
    <x:row r="60" ht="15" hidden="0" customHeight="1">
      <x:c r="A60" s="58" t="str">
        <x:v>R000097</x:v>
      </x:c>
      <x:c r="B60" s="58" t="n">
        <x:v>2</x:v>
      </x:c>
      <x:c r="C60" s="58" t="str">
        <x:v>uncertain</x:v>
      </x:c>
      <x:c r="D60" s="58" t="str">
        <x:v>Representatividad, participación y política: nuevo foco para el viejo debate sobre la función pública en América Latina</x:v>
      </x:c>
      <x:c r="E60" s="58" t="str">
        <x:v>Mercedes Iacovello</x:v>
      </x:c>
      <x:c r="F60" s="58" t="n">
        <x:v>2012</x:v>
      </x:c>
      <x:c r="G60" s="58" t="str">
        <x:v>Revista Buen Gobierno</x:v>
      </x:c>
      <x:c r="H60" s="58" t="str">
        <x:v>crossref</x:v>
      </x:c>
      <x:c r="I60" s="58" t="str">
        <x:v>module_B_es</x:v>
      </x:c>
      <x:c r="J60" s="58" t="str">
        <x:v>10.35247/buengob_12_05</x:v>
      </x:c>
      <x:c r="K60" s="58" t="str">
        <x:v>https://doi.org/10.35247/buengob_12_05</x:v>
      </x:c>
      <x:c r="L60" s="58" t="str">
        <x:v>https://doi.org/10.35247/buengob_12_05</x:v>
      </x:c>
      <x:c r="M60" s="58" t="str">
        <x:v>retrieved</x:v>
      </x:c>
      <x:c r="N60" s="58" t="str">
        <x:v>legal_open_web</x:v>
      </x:c>
      <x:c r="O60" s="58" t="str">
        <x:v>OA_pdf</x:v>
      </x:c>
      <x:c r="P60" s="58" t="str">
        <x:v>passed</x:v>
      </x:c>
      <x:c r="Q60" s="58" t="str">
        <x:v>yes</x:v>
      </x:c>
      <x:c r="R60" s="58" t="str">
        <x:v>eligible</x:v>
      </x:c>
      <x:c r="S60" s="58" t="str">
        <x:v>included</x:v>
      </x:c>
      <x:c r="T60" s="58"/>
      <x:c r="U60" s="58" t="str">
        <x:v>MMAT_2018</x:v>
      </x:c>
      <x:c r="V60" s="58" t="str">
        <x:v>moderada</x:v>
      </x:c>
      <x:c r="W60" s="58" t="str">
        <x:v>Discusión</x:v>
      </x:c>
      <x:c r="X60" s="58" t="str">
        <x:v>función pública y representación</x:v>
      </x:c>
      <x:c r="Y60" s="58" t="str">
        <x:v>funcionamiento_gobierno</x:v>
      </x:c>
      <x:c r="Z60" s="58" t="str">
        <x:v>recuperacion</x:v>
      </x:c>
      <x:c r="AA60" s="58" t="str">
        <x:v>La capacidad administrativa y la representación deben diferenciarse analíticamente.</x:v>
      </x:c>
      <x:c r="AB60" s="58" t="str">
        <x:v>none; bibliographic evidence does not modify model parameters automatically</x:v>
      </x:c>
      <x:c r="AC60" s="58" t="str">
        <x:v>Support corpus for an original article; not a systematic-review outcome.</x:v>
      </x:c>
    </x:row>
    <x:row r="61" ht="15" hidden="0" customHeight="1">
      <x:c r="A61" s="57" t="str">
        <x:v>R000103</x:v>
      </x:c>
      <x:c r="B61" s="57" t="n">
        <x:v>2</x:v>
      </x:c>
      <x:c r="C61" s="57" t="str">
        <x:v>uncertain</x:v>
      </x:c>
      <x:c r="D61" s="57" t="str">
        <x:v>Notas introductorias sobre el populismo y la cultura política en el área andina de América Latina</x:v>
      </x:c>
      <x:c r="E61" s="57" t="str">
        <x:v>H.C.F. Mansilla</x:v>
      </x:c>
      <x:c r="F61" s="57" t="n">
        <x:v>2009</x:v>
      </x:c>
      <x:c r="G61" s="57" t="str">
        <x:v>Ciências Sociais Unisinos</x:v>
      </x:c>
      <x:c r="H61" s="57" t="str">
        <x:v>crossref</x:v>
      </x:c>
      <x:c r="I61" s="57" t="str">
        <x:v>module_B_pt</x:v>
      </x:c>
      <x:c r="J61" s="57" t="str">
        <x:v>10.4013/csu.2009.45.2.02</x:v>
      </x:c>
      <x:c r="K61" s="57" t="str">
        <x:v>https://doi.org/10.4013/csu.2009.45.2.02</x:v>
      </x:c>
      <x:c r="L61" s="57" t="str">
        <x:v>https://revistas.unisinos.br/index.php/ciencias_sociais/article/download/4890/2145/15814</x:v>
      </x:c>
      <x:c r="M61" s="57" t="str">
        <x:v>retrieved</x:v>
      </x:c>
      <x:c r="N61" s="57" t="str">
        <x:v>legal_open_web</x:v>
      </x:c>
      <x:c r="O61" s="57" t="str">
        <x:v>OA_pdf</x:v>
      </x:c>
      <x:c r="P61" s="57" t="str">
        <x:v>passed</x:v>
      </x:c>
      <x:c r="Q61" s="57" t="str">
        <x:v>yes</x:v>
      </x:c>
      <x:c r="R61" s="57" t="str">
        <x:v>eligible</x:v>
      </x:c>
      <x:c r="S61" s="57" t="str">
        <x:v>included</x:v>
      </x:c>
      <x:c r="T61" s="57"/>
      <x:c r="U61" s="57" t="str">
        <x:v>MMAT_2018</x:v>
      </x:c>
      <x:c r="V61" s="57" t="str">
        <x:v>moderada</x:v>
      </x:c>
      <x:c r="W61" s="57" t="str">
        <x:v>Introducción y discusión</x:v>
      </x:c>
      <x:c r="X61" s="57" t="str">
        <x:v>populismo y cultura política andina</x:v>
      </x:c>
      <x:c r="Y61" s="57" t="str">
        <x:v>cultura_politica</x:v>
      </x:c>
      <x:c r="Z61" s="57" t="str">
        <x:v>restrictivo</x:v>
      </x:c>
      <x:c r="AA61" s="57" t="str">
        <x:v>La cultura política andina aporta contexto a la relación entre populismo y democracia.</x:v>
      </x:c>
      <x:c r="AB61" s="57" t="str">
        <x:v>none; bibliographic evidence does not modify model parameters automatically</x:v>
      </x:c>
      <x:c r="AC61" s="57" t="str">
        <x:v>Support corpus for an original article; not a systematic-review outcome.</x:v>
      </x:c>
    </x:row>
    <x:row r="62" ht="15" hidden="0" customHeight="1">
      <x:c r="A62" s="58" t="str">
        <x:v>R000108</x:v>
      </x:c>
      <x:c r="B62" s="58" t="n">
        <x:v>2</x:v>
      </x:c>
      <x:c r="C62" s="58" t="str">
        <x:v>uncertain</x:v>
      </x:c>
      <x:c r="D62" s="58" t="str">
        <x:v>An Internal Validation Assessment of Scale Across Social Vulnerability Index Model Structures (Uncertainty and Global Sensitivity Analysis)</x:v>
      </x:c>
      <x:c r="E62" s="58" t="str">
        <x:v>Selena Hinojos; Caitlin Grady</x:v>
      </x:c>
      <x:c r="F62" s="58" t="n">
        <x:v>2025</x:v>
      </x:c>
      <x:c r="G62" s="58" t="str">
        <x:v>HydroShare Resources</x:v>
      </x:c>
      <x:c r="H62" s="58" t="str">
        <x:v>crossref</x:v>
      </x:c>
      <x:c r="I62" s="58" t="str">
        <x:v>module_C_en</x:v>
      </x:c>
      <x:c r="J62" s="58" t="str">
        <x:v>10.4211/hs.719a8d719907435dade9102aa9a0fa8d</x:v>
      </x:c>
      <x:c r="K62" s="58" t="str">
        <x:v>https://doi.org/10.4211/hs.719a8d719907435dade9102aa9a0fa8d</x:v>
      </x:c>
      <x:c r="L62" s="58" t="str">
        <x:v>https://doi.org/10.4211/hs.719a8d719907435dade9102aa9a0fa8d</x:v>
      </x:c>
      <x:c r="M62" s="58" t="str">
        <x:v>retrieved</x:v>
      </x:c>
      <x:c r="N62" s="58" t="str">
        <x:v>legal_open_web</x:v>
      </x:c>
      <x:c r="O62" s="58" t="str">
        <x:v>HydroShare_SSRN_fulltext</x:v>
      </x:c>
      <x:c r="P62" s="58" t="str">
        <x:v>passed</x:v>
      </x:c>
      <x:c r="Q62" s="58" t="str">
        <x:v>yes</x:v>
      </x:c>
      <x:c r="R62" s="58" t="str">
        <x:v>eligible</x:v>
      </x:c>
      <x:c r="S62" s="58" t="str">
        <x:v>included</x:v>
      </x:c>
      <x:c r="T62" s="58"/>
      <x:c r="U62" s="58" t="str">
        <x:v>METHOD_RELEVANCE</x:v>
      </x:c>
      <x:c r="V62" s="58" t="str">
        <x:v>alta</x:v>
      </x:c>
      <x:c r="W62" s="58" t="str">
        <x:v>Métodos y limitaciones</x:v>
      </x:c>
      <x:c r="X62" s="58" t="str">
        <x:v>sensibilidad de índice compuesto</x:v>
      </x:c>
      <x:c r="Y62" s="58" t="str">
        <x:v>sensibilidad</x:v>
      </x:c>
      <x:c r="Z62" s="58" t="str">
        <x:v>transversal</x:v>
      </x:c>
      <x:c r="AA62" s="58" t="str">
        <x:v>La incertidumbre de índices compuestos debe propagarse y comunicarse mediante bandas.</x:v>
      </x:c>
      <x:c r="AB62" s="58" t="str">
        <x:v>none; bibliographic evidence does not modify model parameters automatically</x:v>
      </x:c>
      <x:c r="AC62" s="58" t="str">
        <x:v>Support corpus for an original article; not a systematic-review outcome.</x:v>
      </x:c>
    </x:row>
    <x:row r="63" ht="15" hidden="0" customHeight="1">
      <x:c r="A63" s="57" t="str">
        <x:v>R000111</x:v>
      </x:c>
      <x:c r="B63" s="57" t="n">
        <x:v>2</x:v>
      </x:c>
      <x:c r="C63" s="57" t="str">
        <x:v>uncertain</x:v>
      </x:c>
      <x:c r="D63" s="57" t="str">
        <x:v>ÍNDICE ANALÍTICO</x:v>
      </x:c>
      <x:c r="E63" s="57"/>
      <x:c r="F63" s="57" t="n">
        <x:v>2006</x:v>
      </x:c>
      <x:c r="G63" s="57" t="str">
        <x:v>La república deliberativa</x:v>
      </x:c>
      <x:c r="H63" s="57" t="str">
        <x:v>crossref</x:v>
      </x:c>
      <x:c r="I63" s="57" t="str">
        <x:v>module_C_es</x:v>
      </x:c>
      <x:c r="J63" s="57" t="str">
        <x:v>10.2307/jj.2321989.16</x:v>
      </x:c>
      <x:c r="K63" s="57" t="str">
        <x:v>https://doi.org/10.2307/jj.2321989.16</x:v>
      </x:c>
      <x:c r="L63" s="57" t="str">
        <x:v>http://doi.org/10.2307/jj.2321989.16</x:v>
      </x:c>
      <x:c r="M63" s="57" t="str">
        <x:v>not_retrieved</x:v>
      </x:c>
      <x:c r="N63" s="57" t="str">
        <x:v>unavailable</x:v>
      </x:c>
      <x:c r="O63" s="57" t="str">
        <x:v>No se obtuvo texto completo verificable mediante Drive, repositorio o editor de acceso abierto.</x:v>
      </x:c>
      <x:c r="P63" s="57" t="str">
        <x:v>not_applicable</x:v>
      </x:c>
      <x:c r="Q63" s="57" t="str">
        <x:v>no</x:v>
      </x:c>
      <x:c r="R63" s="57" t="str">
        <x:v>not_assessed_fulltext</x:v>
      </x:c>
      <x:c r="S63" s="57" t="str">
        <x:v>not_retrieved</x:v>
      </x:c>
      <x:c r="T63" s="57" t="str">
        <x:v>NR_FULLTEXT_UNAVAILABLE</x:v>
      </x:c>
      <x:c r="U63" s="57"/>
      <x:c r="V63" s="57"/>
      <x:c r="W63" s="57"/>
      <x:c r="X63" s="57"/>
      <x:c r="Y63" s="57"/>
      <x:c r="Z63" s="57"/>
      <x:c r="AA63" s="57"/>
      <x:c r="AB63" s="57" t="str">
        <x:v>none; bibliographic evidence does not modify model parameters automatically</x:v>
      </x:c>
      <x:c r="AC63" s="57" t="str">
        <x:v>Support corpus for an original article; not a systematic-review outcome.</x:v>
      </x:c>
    </x:row>
    <x:row r="64" ht="15" hidden="0" customHeight="1">
      <x:c r="A64" s="58" t="str">
        <x:v>R000113</x:v>
      </x:c>
      <x:c r="B64" s="58" t="n">
        <x:v>2</x:v>
      </x:c>
      <x:c r="C64" s="58" t="str">
        <x:v>uncertain</x:v>
      </x:c>
      <x:c r="D64" s="58" t="str">
        <x:v>ÍNDICE DE CASOS JUDICIALES</x:v>
      </x:c>
      <x:c r="E64" s="58"/>
      <x:c r="F64" s="58" t="n">
        <x:v>2016</x:v>
      </x:c>
      <x:c r="G64" s="58" t="str">
        <x:v>Precios de transferencia: análisis de la validez empírica de los métodos propuestos por la ocde para la eveluación del principio de plena competencia</x:v>
      </x:c>
      <x:c r="H64" s="58" t="str">
        <x:v>crossref</x:v>
      </x:c>
      <x:c r="I64" s="58" t="str">
        <x:v>module_C_es</x:v>
      </x:c>
      <x:c r="J64" s="58" t="str">
        <x:v>10.2307/j.ctv1503j4m.5</x:v>
      </x:c>
      <x:c r="K64" s="58" t="str">
        <x:v>https://doi.org/10.2307/j.ctv1503j4m.5</x:v>
      </x:c>
      <x:c r="L64" s="58" t="str">
        <x:v>https://doi.org/10.2307/j.ctv1503j4m.5</x:v>
      </x:c>
      <x:c r="M64" s="58" t="str">
        <x:v>not_retrieved</x:v>
      </x:c>
      <x:c r="N64" s="58" t="str">
        <x:v>unavailable</x:v>
      </x:c>
      <x:c r="O64" s="58" t="str">
        <x:v>No se obtuvo texto completo verificable mediante Drive, repositorio o editor de acceso abierto.</x:v>
      </x:c>
      <x:c r="P64" s="58" t="str">
        <x:v>not_applicable</x:v>
      </x:c>
      <x:c r="Q64" s="58" t="str">
        <x:v>no</x:v>
      </x:c>
      <x:c r="R64" s="58" t="str">
        <x:v>not_assessed_fulltext</x:v>
      </x:c>
      <x:c r="S64" s="58" t="str">
        <x:v>not_retrieved</x:v>
      </x:c>
      <x:c r="T64" s="58" t="str">
        <x:v>NR_FULLTEXT_UNAVAILABLE</x:v>
      </x:c>
      <x:c r="U64" s="58"/>
      <x:c r="V64" s="58"/>
      <x:c r="W64" s="58"/>
      <x:c r="X64" s="58"/>
      <x:c r="Y64" s="58"/>
      <x:c r="Z64" s="58"/>
      <x:c r="AA64" s="58"/>
      <x:c r="AB64" s="58" t="str">
        <x:v>none; bibliographic evidence does not modify model parameters automatically</x:v>
      </x:c>
      <x:c r="AC64" s="58" t="str">
        <x:v>Support corpus for an original article; not a systematic-review outcome.</x:v>
      </x:c>
    </x:row>
    <x:row r="65" ht="15" hidden="0" customHeight="1">
      <x:c r="A65" s="57" t="str">
        <x:v>R000124</x:v>
      </x:c>
      <x:c r="B65" s="57" t="n">
        <x:v>2</x:v>
      </x:c>
      <x:c r="C65" s="57" t="str">
        <x:v>uncertain</x:v>
      </x:c>
      <x:c r="D65" s="57" t="str">
        <x:v>The Monte Carlo Process and Scenario Planning</x:v>
      </x:c>
      <x:c r="E65" s="57" t="str">
        <x:v>Charles Yoe</x:v>
      </x:c>
      <x:c r="F65" s="57" t="n">
        <x:v>2025</x:v>
      </x:c>
      <x:c r="G65" s="57" t="str">
        <x:v>The Art of Making Decisions Under Uncertainty</x:v>
      </x:c>
      <x:c r="H65" s="57" t="str">
        <x:v>crossref</x:v>
      </x:c>
      <x:c r="I65" s="57" t="str">
        <x:v>module_D_en</x:v>
      </x:c>
      <x:c r="J65" s="57" t="str">
        <x:v>10.1201/9781003605089-24</x:v>
      </x:c>
      <x:c r="K65" s="57" t="str">
        <x:v>https://doi.org/10.1201/9781003605089-24</x:v>
      </x:c>
      <x:c r="L65" s="57"/>
      <x:c r="M65" s="57" t="str">
        <x:v>not_retrieved</x:v>
      </x:c>
      <x:c r="N65" s="57" t="str">
        <x:v>unavailable</x:v>
      </x:c>
      <x:c r="O65" s="57" t="str">
        <x:v>No se obtuvo texto completo verificable mediante Drive, repositorio o editor de acceso abierto.</x:v>
      </x:c>
      <x:c r="P65" s="57" t="str">
        <x:v>not_applicable</x:v>
      </x:c>
      <x:c r="Q65" s="57" t="str">
        <x:v>no</x:v>
      </x:c>
      <x:c r="R65" s="57" t="str">
        <x:v>not_assessed_fulltext</x:v>
      </x:c>
      <x:c r="S65" s="57" t="str">
        <x:v>not_retrieved</x:v>
      </x:c>
      <x:c r="T65" s="57" t="str">
        <x:v>NR_FULLTEXT_UNAVAILABLE</x:v>
      </x:c>
      <x:c r="U65" s="57"/>
      <x:c r="V65" s="57"/>
      <x:c r="W65" s="57"/>
      <x:c r="X65" s="57"/>
      <x:c r="Y65" s="57"/>
      <x:c r="Z65" s="57"/>
      <x:c r="AA65" s="57"/>
      <x:c r="AB65" s="57" t="str">
        <x:v>none; bibliographic evidence does not modify model parameters automatically</x:v>
      </x:c>
      <x:c r="AC65" s="57" t="str">
        <x:v>Support corpus for an original article; not a systematic-review outcome.</x:v>
      </x:c>
    </x:row>
    <x:row r="66" ht="15" hidden="0" customHeight="1">
      <x:c r="A66" s="58" t="str">
        <x:v>R000147</x:v>
      </x:c>
      <x:c r="B66" s="58" t="n">
        <x:v>2</x:v>
      </x:c>
      <x:c r="C66" s="58" t="str">
        <x:v>uncertain</x:v>
      </x:c>
      <x:c r="D66" s="58" t="str">
        <x:v>Ciência Política, democracia e dinâmicas de governança</x:v>
      </x:c>
      <x:c r="E66" s="58"/>
      <x:c r="F66" s="58" t="n">
        <x:v>2026</x:v>
      </x:c>
      <x:c r="G66" s="58"/>
      <x:c r="H66" s="58" t="str">
        <x:v>crossref</x:v>
      </x:c>
      <x:c r="I66" s="58" t="str">
        <x:v>module_D_pt</x:v>
      </x:c>
      <x:c r="J66" s="58" t="str">
        <x:v>10.22533/at.ed.34911261201</x:v>
      </x:c>
      <x:c r="K66" s="58" t="str">
        <x:v>https://doi.org/10.22533/at.ed.34911261201</x:v>
      </x:c>
      <x:c r="L66" s="58" t="str">
        <x:v>https://doi.org/10.22533/at.ed.34911261201</x:v>
      </x:c>
      <x:c r="M66" s="58" t="str">
        <x:v>not_retrieved</x:v>
      </x:c>
      <x:c r="N66" s="58" t="str">
        <x:v>unavailable</x:v>
      </x:c>
      <x:c r="O66" s="58" t="str">
        <x:v>No se obtuvo texto completo verificable mediante Drive, repositorio o editor de acceso abierto.</x:v>
      </x:c>
      <x:c r="P66" s="58" t="str">
        <x:v>not_applicable</x:v>
      </x:c>
      <x:c r="Q66" s="58" t="str">
        <x:v>no</x:v>
      </x:c>
      <x:c r="R66" s="58" t="str">
        <x:v>not_assessed_fulltext</x:v>
      </x:c>
      <x:c r="S66" s="58" t="str">
        <x:v>not_retrieved</x:v>
      </x:c>
      <x:c r="T66" s="58" t="str">
        <x:v>NR_FULLTEXT_UNAVAILABLE</x:v>
      </x:c>
      <x:c r="U66" s="58"/>
      <x:c r="V66" s="58"/>
      <x:c r="W66" s="58"/>
      <x:c r="X66" s="58"/>
      <x:c r="Y66" s="58"/>
      <x:c r="Z66" s="58"/>
      <x:c r="AA66" s="58"/>
      <x:c r="AB66" s="58" t="str">
        <x:v>none; bibliographic evidence does not modify model parameters automatically</x:v>
      </x:c>
      <x:c r="AC66" s="58" t="str">
        <x:v>Support corpus for an original article; not a systematic-review outcome.</x:v>
      </x:c>
    </x:row>
    <x:row r="67" ht="15" hidden="0" customHeight="1">
      <x:c r="A67" s="57" t="str">
        <x:v>R000175</x:v>
      </x:c>
      <x:c r="B67" s="57" t="n">
        <x:v>2</x:v>
      </x:c>
      <x:c r="C67" s="57" t="str">
        <x:v>uncertain</x:v>
      </x:c>
      <x:c r="D67" s="57" t="str">
        <x:v>El control constitucional de las resoluciones electorales en el Perú</x:v>
      </x:c>
      <x:c r="E67" s="57" t="str">
        <x:v>César Landa</x:v>
      </x:c>
      <x:c r="F67" s="57" t="n">
        <x:v>2011</x:v>
      </x:c>
      <x:c r="G67" s="57" t="str">
        <x:v>Revista Elecciones</x:v>
      </x:c>
      <x:c r="H67" s="57" t="str">
        <x:v>crossref</x:v>
      </x:c>
      <x:c r="I67" s="57" t="str">
        <x:v>module_E_es</x:v>
      </x:c>
      <x:c r="J67" s="57" t="str">
        <x:v>10.53557/elecciones.2011.v10n11.02</x:v>
      </x:c>
      <x:c r="K67" s="57" t="str">
        <x:v>https://doi.org/10.53557/elecciones.2011.v10n11.02</x:v>
      </x:c>
      <x:c r="L67" s="57" t="str">
        <x:v>https://doi.org/10.53557/elecciones.2011.v10n11.02</x:v>
      </x:c>
      <x:c r="M67" s="57" t="str">
        <x:v>retrieved</x:v>
      </x:c>
      <x:c r="N67" s="57" t="str">
        <x:v>legal_open_web</x:v>
      </x:c>
      <x:c r="O67" s="57" t="str">
        <x:v>ONPE_fulltext</x:v>
      </x:c>
      <x:c r="P67" s="57" t="str">
        <x:v>passed</x:v>
      </x:c>
      <x:c r="Q67" s="57" t="str">
        <x:v>yes</x:v>
      </x:c>
      <x:c r="R67" s="57" t="str">
        <x:v>eligible</x:v>
      </x:c>
      <x:c r="S67" s="57" t="str">
        <x:v>included</x:v>
      </x:c>
      <x:c r="T67" s="57"/>
      <x:c r="U67" s="57" t="str">
        <x:v>MMAT_2018</x:v>
      </x:c>
      <x:c r="V67" s="57" t="str">
        <x:v>alta</x:v>
      </x:c>
      <x:c r="W67" s="57" t="str">
        <x:v>Discusión</x:v>
      </x:c>
      <x:c r="X67" s="57" t="str">
        <x:v>control constitucional electoral</x:v>
      </x:c>
      <x:c r="Y67" s="57" t="str">
        <x:v>proceso_electoral</x:v>
      </x:c>
      <x:c r="Z67" s="57" t="str">
        <x:v>recuperacion</x:v>
      </x:c>
      <x:c r="AA67" s="57" t="str">
        <x:v>El control constitucional en materia electoral integra la arquitectura de contrapesos.</x:v>
      </x:c>
      <x:c r="AB67" s="57" t="str">
        <x:v>none; bibliographic evidence does not modify model parameters automatically</x:v>
      </x:c>
      <x:c r="AC67" s="57" t="str">
        <x:v>Support corpus for an original article; not a systematic-review outcome.</x:v>
      </x:c>
    </x:row>
    <x:row r="68" ht="15" hidden="0" customHeight="1">
      <x:c r="A68" s="58" t="str">
        <x:v>R000177</x:v>
      </x:c>
      <x:c r="B68" s="58" t="n">
        <x:v>2</x:v>
      </x:c>
      <x:c r="C68" s="58" t="str">
        <x:v>uncertain</x:v>
      </x:c>
      <x:c r="D68" s="58" t="str">
        <x:v>Resultados electorales oficiales de 2006. República de El Salvador ; Tribunal Supremo Electoral. Consolidado nacional de las elecciones para concejos municipales ; Tribunal Supremo Electoral. Consolidado nacional de las elecciones para diputados</x:v>
      </x:c>
      <x:c r="E68" s="58" t="str">
        <x:v>El Editor</x:v>
      </x:c>
      <x:c r="F68" s="58" t="n">
        <x:v>2006</x:v>
      </x:c>
      <x:c r="G68" s="58" t="str">
        <x:v>ECA: Estudios Centroamericanos</x:v>
      </x:c>
      <x:c r="H68" s="58" t="str">
        <x:v>crossref</x:v>
      </x:c>
      <x:c r="I68" s="58" t="str">
        <x:v>module_E_es</x:v>
      </x:c>
      <x:c r="J68" s="58" t="str">
        <x:v>10.51378/eca.v61i688-689.4954</x:v>
      </x:c>
      <x:c r="K68" s="58" t="str">
        <x:v>https://doi.org/10.51378/eca.v61i688-689.4954</x:v>
      </x:c>
      <x:c r="L68" s="58" t="str">
        <x:v>https://doi.org/10.51378/eca.v61i688-689.4954</x:v>
      </x:c>
      <x:c r="M68" s="58" t="str">
        <x:v>not_retrieved</x:v>
      </x:c>
      <x:c r="N68" s="58" t="str">
        <x:v>unavailable</x:v>
      </x:c>
      <x:c r="O68" s="58" t="str">
        <x:v>No se obtuvo texto completo verificable mediante Drive, repositorio o editor de acceso abierto.</x:v>
      </x:c>
      <x:c r="P68" s="58" t="str">
        <x:v>not_applicable</x:v>
      </x:c>
      <x:c r="Q68" s="58" t="str">
        <x:v>no</x:v>
      </x:c>
      <x:c r="R68" s="58" t="str">
        <x:v>not_assessed_fulltext</x:v>
      </x:c>
      <x:c r="S68" s="58" t="str">
        <x:v>not_retrieved</x:v>
      </x:c>
      <x:c r="T68" s="58" t="str">
        <x:v>NR_FULLTEXT_UNAVAILABLE</x:v>
      </x:c>
      <x:c r="U68" s="58"/>
      <x:c r="V68" s="58"/>
      <x:c r="W68" s="58"/>
      <x:c r="X68" s="58"/>
      <x:c r="Y68" s="58"/>
      <x:c r="Z68" s="58"/>
      <x:c r="AA68" s="58"/>
      <x:c r="AB68" s="58" t="str">
        <x:v>none; bibliographic evidence does not modify model parameters automatically</x:v>
      </x:c>
      <x:c r="AC68" s="58" t="str">
        <x:v>Support corpus for an original article; not a systematic-review outcome.</x:v>
      </x:c>
    </x:row>
    <x:row r="69" ht="15" hidden="0" customHeight="1">
      <x:c r="A69" s="57" t="str">
        <x:v>R000179</x:v>
      </x:c>
      <x:c r="B69" s="57" t="n">
        <x:v>2</x:v>
      </x:c>
      <x:c r="C69" s="57" t="str">
        <x:v>uncertain</x:v>
      </x:c>
      <x:c r="D69" s="57" t="str">
        <x:v>Integridad electoral en la construcción de los resultados electorales</x:v>
      </x:c>
      <x:c r="E69" s="57" t="str">
        <x:v>Gustavo López Montiel</x:v>
      </x:c>
      <x:c r="F69" s="57" t="n">
        <x:v>2019</x:v>
      </x:c>
      <x:c r="G69" s="57" t="str">
        <x:v>Integridad electoral</x:v>
      </x:c>
      <x:c r="H69" s="57" t="str">
        <x:v>crossref</x:v>
      </x:c>
      <x:c r="I69" s="57" t="str">
        <x:v>module_E_es</x:v>
      </x:c>
      <x:c r="J69" s="57" t="str">
        <x:v>10.2307/j.ctvxbpgs0.12</x:v>
      </x:c>
      <x:c r="K69" s="57" t="str">
        <x:v>https://doi.org/10.2307/j.ctvxbpgs0.12</x:v>
      </x:c>
      <x:c r="L69" s="57" t="str">
        <x:v>https://doi.org/10.2307/j.ctvxbpgs0.12</x:v>
      </x:c>
      <x:c r="M69" s="57" t="str">
        <x:v>not_retrieved</x:v>
      </x:c>
      <x:c r="N69" s="57" t="str">
        <x:v>unavailable</x:v>
      </x:c>
      <x:c r="O69" s="57" t="str">
        <x:v>No se obtuvo texto completo verificable mediante Drive, repositorio o editor de acceso abierto.</x:v>
      </x:c>
      <x:c r="P69" s="57" t="str">
        <x:v>not_applicable</x:v>
      </x:c>
      <x:c r="Q69" s="57" t="str">
        <x:v>no</x:v>
      </x:c>
      <x:c r="R69" s="57" t="str">
        <x:v>not_assessed_fulltext</x:v>
      </x:c>
      <x:c r="S69" s="57" t="str">
        <x:v>not_retrieved</x:v>
      </x:c>
      <x:c r="T69" s="57" t="str">
        <x:v>NR_FULLTEXT_UNAVAILABLE</x:v>
      </x:c>
      <x:c r="U69" s="57"/>
      <x:c r="V69" s="57"/>
      <x:c r="W69" s="57"/>
      <x:c r="X69" s="57"/>
      <x:c r="Y69" s="57"/>
      <x:c r="Z69" s="57"/>
      <x:c r="AA69" s="57"/>
      <x:c r="AB69" s="57" t="str">
        <x:v>none; bibliographic evidence does not modify model parameters automatically</x:v>
      </x:c>
      <x:c r="AC69" s="57" t="str">
        <x:v>Support corpus for an original article; not a systematic-review outcome.</x:v>
      </x:c>
    </x:row>
    <x:row r="70" ht="15" hidden="0" customHeight="1">
      <x:c r="A70" s="58" t="str">
        <x:v>R000201</x:v>
      </x:c>
      <x:c r="B70" s="58" t="n">
        <x:v>2</x:v>
      </x:c>
      <x:c r="C70" s="58" t="str">
        <x:v>uncertain</x:v>
      </x:c>
      <x:c r="D70" s="58" t="str">
        <x:v>Reforma política : para consolidar el régimen democrático</x:v>
      </x:c>
      <x:c r="E70" s="58" t="str">
        <x:v>Pease García, Henry</x:v>
      </x:c>
      <x:c r="F70" s="58" t="n">
        <x:v>2008</x:v>
      </x:c>
      <x:c r="G70" s="58"/>
      <x:c r="H70" s="58" t="str">
        <x:v>core</x:v>
      </x:c>
      <x:c r="I70" s="58" t="str">
        <x:v>module_A_es</x:v>
      </x:c>
      <x:c r="J70" s="58" t="str">
        <x:v>10.18800/9789972428531</x:v>
      </x:c>
      <x:c r="K70" s="58" t="str">
        <x:v>https://core.ac.uk/download/655679774.pdf</x:v>
      </x:c>
      <x:c r="L70" s="58" t="str">
        <x:v>https://core.ac.uk/download/655679774.pdf</x:v>
      </x:c>
      <x:c r="M70" s="58" t="str">
        <x:v>retrieved</x:v>
      </x:c>
      <x:c r="N70" s="58" t="str">
        <x:v>legal_open_web</x:v>
      </x:c>
      <x:c r="O70" s="58" t="str">
        <x:v>PUCP_repository_fulltext</x:v>
      </x:c>
      <x:c r="P70" s="58" t="str">
        <x:v>passed</x:v>
      </x:c>
      <x:c r="Q70" s="58" t="str">
        <x:v>yes</x:v>
      </x:c>
      <x:c r="R70" s="58" t="str">
        <x:v>eligible</x:v>
      </x:c>
      <x:c r="S70" s="58" t="str">
        <x:v>included</x:v>
      </x:c>
      <x:c r="T70" s="58"/>
      <x:c r="U70" s="58" t="str">
        <x:v>AACODS</x:v>
      </x:c>
      <x:c r="V70" s="58" t="str">
        <x:v>alta</x:v>
      </x:c>
      <x:c r="W70" s="58" t="str">
        <x:v>Discusión</x:v>
      </x:c>
      <x:c r="X70" s="58" t="str">
        <x:v>reforma política peruana</x:v>
      </x:c>
      <x:c r="Y70" s="58" t="str">
        <x:v>funcionamiento_gobierno</x:v>
      </x:c>
      <x:c r="Z70" s="58" t="str">
        <x:v>recuperacion</x:v>
      </x:c>
      <x:c r="AA70" s="58" t="str">
        <x:v>La reforma política delimita opciones institucionales plausibles de recuperación.</x:v>
      </x:c>
      <x:c r="AB70" s="58" t="str">
        <x:v>none; bibliographic evidence does not modify model parameters automatically</x:v>
      </x:c>
      <x:c r="AC70" s="58" t="str">
        <x:v>Support corpus for an original article; not a systematic-review outcome.</x:v>
      </x:c>
    </x:row>
    <x:row r="71" ht="15" hidden="0" customHeight="1">
      <x:c r="A71" s="57" t="str">
        <x:v>R000253</x:v>
      </x:c>
      <x:c r="B71" s="57" t="n">
        <x:v>2</x:v>
      </x:c>
      <x:c r="C71" s="57" t="str">
        <x:v>uncertain</x:v>
      </x:c>
      <x:c r="D71" s="57" t="str">
        <x:v>Índice de artículos</x:v>
      </x:c>
      <x:c r="E71" s="57" t="str">
        <x:v>Publicados, Índice de artículos</x:v>
      </x:c>
      <x:c r="F71" s="57" t="n">
        <x:v>2013</x:v>
      </x:c>
      <x:c r="G71" s="57" t="str">
        <x:v>{"title": null, "identifiers": []}</x:v>
      </x:c>
      <x:c r="H71" s="57" t="str">
        <x:v>core</x:v>
      </x:c>
      <x:c r="I71" s="57" t="str">
        <x:v>module_C_es</x:v>
      </x:c>
      <x:c r="J71" s="57"/>
      <x:c r="K71" s="57" t="str">
        <x:v>https://core.ac.uk/download/533173403.pdf</x:v>
      </x:c>
      <x:c r="L71" s="57" t="str">
        <x:v>https://core.ac.uk/download/533173403.pdf</x:v>
      </x:c>
      <x:c r="M71" s="57" t="str">
        <x:v>not_retrieved</x:v>
      </x:c>
      <x:c r="N71" s="57" t="str">
        <x:v>unavailable</x:v>
      </x:c>
      <x:c r="O71" s="57" t="str">
        <x:v>No se obtuvo texto completo verificable mediante Drive, repositorio o editor de acceso abierto.</x:v>
      </x:c>
      <x:c r="P71" s="57" t="str">
        <x:v>not_applicable</x:v>
      </x:c>
      <x:c r="Q71" s="57" t="str">
        <x:v>no</x:v>
      </x:c>
      <x:c r="R71" s="57" t="str">
        <x:v>not_assessed_fulltext</x:v>
      </x:c>
      <x:c r="S71" s="57" t="str">
        <x:v>not_retrieved</x:v>
      </x:c>
      <x:c r="T71" s="57" t="str">
        <x:v>NR_FULLTEXT_UNAVAILABLE</x:v>
      </x:c>
      <x:c r="U71" s="57"/>
      <x:c r="V71" s="57"/>
      <x:c r="W71" s="57"/>
      <x:c r="X71" s="57"/>
      <x:c r="Y71" s="57"/>
      <x:c r="Z71" s="57"/>
      <x:c r="AA71" s="57"/>
      <x:c r="AB71" s="57" t="str">
        <x:v>none; bibliographic evidence does not modify model parameters automatically</x:v>
      </x:c>
      <x:c r="AC71" s="57" t="str">
        <x:v>Support corpus for an original article; not a systematic-review outcome.</x:v>
      </x:c>
    </x:row>
    <x:row r="72" ht="15" hidden="0" customHeight="1">
      <x:c r="A72" s="58" t="str">
        <x:v>R000299</x:v>
      </x:c>
      <x:c r="B72" s="58" t="n">
        <x:v>2</x:v>
      </x:c>
      <x:c r="C72" s="58" t="str">
        <x:v>uncertain</x:v>
      </x:c>
      <x:c r="D72" s="58" t="str">
        <x:v>Derecho electoral municipal: un análisis sociológico de su variación en el Perú 1980-2002</x:v>
      </x:c>
      <x:c r="E72" s="58" t="str">
        <x:v>Vargas León, Carlos</x:v>
      </x:c>
      <x:c r="F72" s="58" t="n">
        <x:v>2002</x:v>
      </x:c>
      <x:c r="G72" s="58"/>
      <x:c r="H72" s="58" t="str">
        <x:v>core</x:v>
      </x:c>
      <x:c r="I72" s="58" t="str">
        <x:v>module_E_es</x:v>
      </x:c>
      <x:c r="J72" s="58" t="str">
        <x:v>10.53557/elecciones.2002.v1n1.03</x:v>
      </x:c>
      <x:c r="K72" s="58" t="str">
        <x:v>https://core.ac.uk/download/517418424.pdf</x:v>
      </x:c>
      <x:c r="L72" s="58" t="str">
        <x:v>https://core.ac.uk/download/517418424.pdf</x:v>
      </x:c>
      <x:c r="M72" s="58" t="str">
        <x:v>retrieved</x:v>
      </x:c>
      <x:c r="N72" s="58" t="str">
        <x:v>legal_open_web</x:v>
      </x:c>
      <x:c r="O72" s="58" t="str">
        <x:v>ONPE_fulltext</x:v>
      </x:c>
      <x:c r="P72" s="58" t="str">
        <x:v>passed</x:v>
      </x:c>
      <x:c r="Q72" s="58" t="str">
        <x:v>yes</x:v>
      </x:c>
      <x:c r="R72" s="58" t="str">
        <x:v>excluded_after_fulltext</x:v>
      </x:c>
      <x:c r="S72" s="58" t="str">
        <x:v>excluded</x:v>
      </x:c>
      <x:c r="T72" s="58" t="str">
        <x:v>EXC_OUTSIDE_TEMPORAL_ANALYTIC_SCOPE: La evolución normativa municipal 1980–2002 queda fuera del periodo y no modifica la interpretación actual.</x:v>
      </x:c>
      <x:c r="U72" s="58"/>
      <x:c r="V72" s="58"/>
      <x:c r="W72" s="58"/>
      <x:c r="X72" s="58"/>
      <x:c r="Y72" s="58"/>
      <x:c r="Z72" s="58"/>
      <x:c r="AA72" s="58"/>
      <x:c r="AB72" s="58" t="str">
        <x:v>none; bibliographic evidence does not modify model parameters automatically</x:v>
      </x:c>
      <x:c r="AC72" s="58" t="str">
        <x:v>Support corpus for an original article; not a systematic-review outcome.</x:v>
      </x:c>
    </x:row>
    <x:row r="73" ht="15" hidden="0" customHeight="1">
      <x:c r="A73" s="57" t="str">
        <x:v>R000350</x:v>
      </x:c>
      <x:c r="B73" s="57" t="n">
        <x:v>2</x:v>
      </x:c>
      <x:c r="C73" s="57" t="str">
        <x:v>uncertain</x:v>
      </x:c>
      <x:c r="D73" s="57" t="str">
        <x:v>Political polarization in low- and middle-income countries</x:v>
      </x:c>
      <x:c r="E73" s="57" t="str">
        <x:v>Larreguy H.</x:v>
      </x:c>
      <x:c r="F73" s="57" t="n">
        <x:v>2026</x:v>
      </x:c>
      <x:c r="G73" s="57" t="str">
        <x:v>Nature Human Behaviour</x:v>
      </x:c>
      <x:c r="H73" s="57" t="str">
        <x:v>scopus</x:v>
      </x:c>
      <x:c r="I73" s="57" t="str">
        <x:v>module_A_en</x:v>
      </x:c>
      <x:c r="J73" s="57" t="str">
        <x:v>10.1038/s41562-026-02507-3</x:v>
      </x:c>
      <x:c r="K73" s="57" t="str">
        <x:v>https://api.elsevier.com/content/abstract/scopus_id/105042611963</x:v>
      </x:c>
      <x:c r="L73" s="57" t="str">
        <x:v>https://doi.org/10.1038/s41562-026-02507-3</x:v>
      </x:c>
      <x:c r="M73" s="57" t="str">
        <x:v>not_retrieved</x:v>
      </x:c>
      <x:c r="N73" s="57" t="str">
        <x:v>unavailable</x:v>
      </x:c>
      <x:c r="O73" s="57" t="str">
        <x:v>No se obtuvo texto completo verificable mediante Drive, repositorio o editor de acceso abierto.</x:v>
      </x:c>
      <x:c r="P73" s="57" t="str">
        <x:v>not_applicable</x:v>
      </x:c>
      <x:c r="Q73" s="57" t="str">
        <x:v>no</x:v>
      </x:c>
      <x:c r="R73" s="57" t="str">
        <x:v>not_assessed_fulltext</x:v>
      </x:c>
      <x:c r="S73" s="57" t="str">
        <x:v>not_retrieved</x:v>
      </x:c>
      <x:c r="T73" s="57" t="str">
        <x:v>NR_FULLTEXT_UNAVAILABLE</x:v>
      </x:c>
      <x:c r="U73" s="57"/>
      <x:c r="V73" s="57"/>
      <x:c r="W73" s="57"/>
      <x:c r="X73" s="57"/>
      <x:c r="Y73" s="57"/>
      <x:c r="Z73" s="57"/>
      <x:c r="AA73" s="57"/>
      <x:c r="AB73" s="57" t="str">
        <x:v>none; bibliographic evidence does not modify model parameters automatically</x:v>
      </x:c>
      <x:c r="AC73" s="57" t="str">
        <x:v>Support corpus for an original article; not a systematic-review outcome.</x:v>
      </x:c>
    </x:row>
    <x:row r="74" ht="15" hidden="0" customHeight="1">
      <x:c r="A74" s="58" t="str">
        <x:v>R000351</x:v>
      </x:c>
      <x:c r="B74" s="58" t="n">
        <x:v>2</x:v>
      </x:c>
      <x:c r="C74" s="58" t="str">
        <x:v>uncertain</x:v>
      </x:c>
      <x:c r="D74" s="58" t="str">
        <x:v>The Treacherous Road out of Autocracy</x:v>
      </x:c>
      <x:c r="E74" s="58" t="str">
        <x:v>Gamboa L.</x:v>
      </x:c>
      <x:c r="F74" s="58" t="n">
        <x:v>2026</x:v>
      </x:c>
      <x:c r="G74" s="58" t="str">
        <x:v>Current History</x:v>
      </x:c>
      <x:c r="H74" s="58" t="str">
        <x:v>scopus</x:v>
      </x:c>
      <x:c r="I74" s="58" t="str">
        <x:v>module_A_en</x:v>
      </x:c>
      <x:c r="J74" s="58" t="str">
        <x:v>10.1525/curh.2026.125.872-873.38</x:v>
      </x:c>
      <x:c r="K74" s="58" t="str">
        <x:v>https://api.elsevier.com/content/abstract/scopus_id/105044370692</x:v>
      </x:c>
      <x:c r="L74" s="58" t="str">
        <x:v>https://doi.org/10.1525/curh.2026.125.872-873.38</x:v>
      </x:c>
      <x:c r="M74" s="58" t="str">
        <x:v>not_retrieved</x:v>
      </x:c>
      <x:c r="N74" s="58" t="str">
        <x:v>abstract_or_metadata_only</x:v>
      </x:c>
      <x:c r="O74" s="58" t="str">
        <x:v>Resumen o metadatos localizados, pero el texto completo legal no estuvo disponible.</x:v>
      </x:c>
      <x:c r="P74" s="58" t="str">
        <x:v>not_applicable</x:v>
      </x:c>
      <x:c r="Q74" s="58" t="str">
        <x:v>no</x:v>
      </x:c>
      <x:c r="R74" s="58" t="str">
        <x:v>not_assessed_fulltext</x:v>
      </x:c>
      <x:c r="S74" s="58" t="str">
        <x:v>not_retrieved</x:v>
      </x:c>
      <x:c r="T74" s="58" t="str">
        <x:v>NR_FULLTEXT_UNAVAILABLE</x:v>
      </x:c>
      <x:c r="U74" s="58"/>
      <x:c r="V74" s="58"/>
      <x:c r="W74" s="58"/>
      <x:c r="X74" s="58"/>
      <x:c r="Y74" s="58"/>
      <x:c r="Z74" s="58"/>
      <x:c r="AA74" s="58"/>
      <x:c r="AB74" s="58" t="str">
        <x:v>none; bibliographic evidence does not modify model parameters automatically</x:v>
      </x:c>
      <x:c r="AC74" s="58" t="str">
        <x:v>Support corpus for an original article; not a systematic-review outcome.</x:v>
      </x:c>
    </x:row>
    <x:row r="75" ht="15" hidden="0" customHeight="1">
      <x:c r="A75" s="57" t="str">
        <x:v>R000540</x:v>
      </x:c>
      <x:c r="B75" s="57" t="n">
        <x:v>2</x:v>
      </x:c>
      <x:c r="C75" s="57" t="str">
        <x:v>uncertain</x:v>
      </x:c>
      <x:c r="D75" s="57" t="str">
        <x:v>School well-being in boarding schools: challenges and opportunities to overcome social anomie in an indigenous context</x:v>
      </x:c>
      <x:c r="E75" s="57" t="str">
        <x:v>Villarroel-Cárdenas V.</x:v>
      </x:c>
      <x:c r="F75" s="57" t="n">
        <x:v>2026</x:v>
      </x:c>
      <x:c r="G75" s="57" t="str">
        <x:v>Estudios Pedagogicos</x:v>
      </x:c>
      <x:c r="H75" s="57" t="str">
        <x:v>scopus</x:v>
      </x:c>
      <x:c r="I75" s="57" t="str">
        <x:v>module_D_es</x:v>
      </x:c>
      <x:c r="J75" s="57" t="str">
        <x:v>10.4067/s0718-07052026000100501</x:v>
      </x:c>
      <x:c r="K75" s="57" t="str">
        <x:v>https://api.elsevier.com/content/abstract/scopus_id/105041303264</x:v>
      </x:c>
      <x:c r="L75" s="57" t="str">
        <x:v>https://doi.org/10.4067/s0718-07052026000100501</x:v>
      </x:c>
      <x:c r="M75" s="57" t="str">
        <x:v>not_retrieved</x:v>
      </x:c>
      <x:c r="N75" s="57" t="str">
        <x:v>unavailable</x:v>
      </x:c>
      <x:c r="O75" s="57" t="str">
        <x:v>No se obtuvo texto completo verificable mediante Drive, repositorio o editor de acceso abierto.</x:v>
      </x:c>
      <x:c r="P75" s="57" t="str">
        <x:v>not_applicable</x:v>
      </x:c>
      <x:c r="Q75" s="57" t="str">
        <x:v>no</x:v>
      </x:c>
      <x:c r="R75" s="57" t="str">
        <x:v>not_assessed_fulltext</x:v>
      </x:c>
      <x:c r="S75" s="57" t="str">
        <x:v>not_retrieved</x:v>
      </x:c>
      <x:c r="T75" s="57" t="str">
        <x:v>NR_FULLTEXT_UNAVAILABLE</x:v>
      </x:c>
      <x:c r="U75" s="57"/>
      <x:c r="V75" s="57"/>
      <x:c r="W75" s="57"/>
      <x:c r="X75" s="57"/>
      <x:c r="Y75" s="57"/>
      <x:c r="Z75" s="57"/>
      <x:c r="AA75" s="57"/>
      <x:c r="AB75" s="57" t="str">
        <x:v>none; bibliographic evidence does not modify model parameters automatically</x:v>
      </x:c>
      <x:c r="AC75" s="57" t="str">
        <x:v>Support corpus for an original article; not a systematic-review outcome.</x:v>
      </x:c>
    </x:row>
    <x:row r="76" ht="15" hidden="0" customHeight="1">
      <x:c r="A76" s="58" t="str">
        <x:v>R000596</x:v>
      </x:c>
      <x:c r="B76" s="58" t="n">
        <x:v>2</x:v>
      </x:c>
      <x:c r="C76" s="58" t="str">
        <x:v>uncertain</x:v>
      </x:c>
      <x:c r="D76" s="58" t="str">
        <x:v>Discursive geographies of extraction: towards a territorialized application of cultural political economy of extractivism in Chile and Peru</x:v>
      </x:c>
      <x:c r="E76" s="58" t="str">
        <x:v>Watanabe-Farro A.</x:v>
      </x:c>
      <x:c r="F76" s="58" t="n">
        <x:v>2026</x:v>
      </x:c>
      <x:c r="G76" s="58" t="str">
        <x:v>Extractive Industries and Society</x:v>
      </x:c>
      <x:c r="H76" s="58" t="str">
        <x:v>scopus</x:v>
      </x:c>
      <x:c r="I76" s="58" t="str">
        <x:v>module_E_es</x:v>
      </x:c>
      <x:c r="J76" s="58" t="str">
        <x:v>10.1016/j.exis.2026.102020</x:v>
      </x:c>
      <x:c r="K76" s="58" t="str">
        <x:v>https://api.elsevier.com/content/abstract/scopus_id/105046891472</x:v>
      </x:c>
      <x:c r="L76" s="58" t="str">
        <x:v>https://doi.org/10.1016/j.exis.2026.102020</x:v>
      </x:c>
      <x:c r="M76" s="58" t="str">
        <x:v>not_retrieved</x:v>
      </x:c>
      <x:c r="N76" s="58" t="str">
        <x:v>unavailable</x:v>
      </x:c>
      <x:c r="O76" s="58" t="str">
        <x:v>No se obtuvo texto completo verificable mediante Drive, repositorio o editor de acceso abierto.</x:v>
      </x:c>
      <x:c r="P76" s="58" t="str">
        <x:v>not_applicable</x:v>
      </x:c>
      <x:c r="Q76" s="58" t="str">
        <x:v>no</x:v>
      </x:c>
      <x:c r="R76" s="58" t="str">
        <x:v>not_assessed_fulltext</x:v>
      </x:c>
      <x:c r="S76" s="58" t="str">
        <x:v>not_retrieved</x:v>
      </x:c>
      <x:c r="T76" s="58" t="str">
        <x:v>NR_FULLTEXT_UNAVAILABLE</x:v>
      </x:c>
      <x:c r="U76" s="58"/>
      <x:c r="V76" s="58"/>
      <x:c r="W76" s="58"/>
      <x:c r="X76" s="58"/>
      <x:c r="Y76" s="58"/>
      <x:c r="Z76" s="58"/>
      <x:c r="AA76" s="58"/>
      <x:c r="AB76" s="58" t="str">
        <x:v>none; bibliographic evidence does not modify model parameters automatically</x:v>
      </x:c>
      <x:c r="AC76" s="58" t="str">
        <x:v>Support corpus for an original article; not a systematic-review outcome.</x:v>
      </x:c>
    </x:row>
    <x:row r="77" ht="15" hidden="0" customHeight="1">
      <x:c r="A77" s="57" t="str">
        <x:v>R000643</x:v>
      </x:c>
      <x:c r="B77" s="57" t="n">
        <x:v>2</x:v>
      </x:c>
      <x:c r="C77" s="57" t="str">
        <x:v>uncertain</x:v>
      </x:c>
      <x:c r="D77" s="57" t="str">
        <x:v>Neoconservadorismo na América Latina: o ataque aos direitos sexuais e reprodutivos como elemento da erosão democrática</x:v>
      </x:c>
      <x:c r="E77" s="57" t="str">
        <x:v>Joyce Miranda Leão Martins</x:v>
      </x:c>
      <x:c r="F77" s="57" t="n">
        <x:v>2022</x:v>
      </x:c>
      <x:c r="G77" s="57" t="str">
        <x:v>Revista Brasileira de Ciência Política</x:v>
      </x:c>
      <x:c r="H77" s="57" t="str">
        <x:v>scielo</x:v>
      </x:c>
      <x:c r="I77" s="57" t="str">
        <x:v>module_A_pt</x:v>
      </x:c>
      <x:c r="J77" s="57" t="str">
        <x:v>10.1590/0103-3352.2022.37.254322</x:v>
      </x:c>
      <x:c r="K77" s="57" t="str">
        <x:v>https://doi.org/10.1590/0103-3352.2022.37.254322</x:v>
      </x:c>
      <x:c r="L77" s="57" t="str">
        <x:v>https://doi.org/10.1590/0103-3352.2022.37.254322</x:v>
      </x:c>
      <x:c r="M77" s="57" t="str">
        <x:v>retrieved</x:v>
      </x:c>
      <x:c r="N77" s="57" t="str">
        <x:v>legal_open_web</x:v>
      </x:c>
      <x:c r="O77" s="57" t="str">
        <x:v>scielo_full_html</x:v>
      </x:c>
      <x:c r="P77" s="57" t="str">
        <x:v>passed</x:v>
      </x:c>
      <x:c r="Q77" s="57" t="str">
        <x:v>yes</x:v>
      </x:c>
      <x:c r="R77" s="57" t="str">
        <x:v>eligible</x:v>
      </x:c>
      <x:c r="S77" s="57" t="str">
        <x:v>included</x:v>
      </x:c>
      <x:c r="T77" s="57"/>
      <x:c r="U77" s="57" t="str">
        <x:v>MMAT_2018</x:v>
      </x:c>
      <x:c r="V77" s="57" t="str">
        <x:v>alta</x:v>
      </x:c>
      <x:c r="W77" s="57" t="str">
        <x:v>Discusión</x:v>
      </x:c>
      <x:c r="X77" s="57" t="str">
        <x:v>derechos y erosión regional</x:v>
      </x:c>
      <x:c r="Y77" s="57" t="str">
        <x:v>libertades_civiles</x:v>
      </x:c>
      <x:c r="Z77" s="57" t="str">
        <x:v>restrictivo</x:v>
      </x:c>
      <x:c r="AA77" s="57" t="str">
        <x:v>Las agendas neoconservadoras pueden afectar derechos y libertades en contextos de erosión.</x:v>
      </x:c>
      <x:c r="AB77" s="57" t="str">
        <x:v>none; bibliographic evidence does not modify model parameters automatically</x:v>
      </x:c>
      <x:c r="AC77" s="57" t="str">
        <x:v>Support corpus for an original article; not a systematic-review outcome.</x:v>
      </x:c>
    </x:row>
  </x:sheetData>
  <x:mergeCells>
    <x:mergeCell ref="A1:AC1"/>
    <x:mergeCell ref="A2:AC2"/>
  </x:mergeCells>
  <x:pageMargins left="0.7" right="0.7" top="0.75" bottom="0.75" header="0.3" footer="0.3"/>
  <x:tableParts count="1">
    <x:tablePart xmlns:r="http://schemas.openxmlformats.org/officeDocument/2006/relationships" r:id="R769e94bab86442cc"/>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32" hidden="0" customWidth="1"/>
    <x:col min="2" max="2" width="32" hidden="0" customWidth="1"/>
    <x:col min="3" max="3" width="32" hidden="0" customWidth="1"/>
    <x:col min="4" max="4" width="44" hidden="0" customWidth="1"/>
    <x:col min="5" max="5" width="44" hidden="0" customWidth="1"/>
    <x:col min="6" max="6" width="32" hidden="0" customWidth="1"/>
    <x:col min="7" max="7" width="44" hidden="0" customWidth="1"/>
    <x:col min="8" max="8" width="32" hidden="0" customWidth="1"/>
    <x:col min="9" max="9" width="32" hidden="0" customWidth="1"/>
    <x:col min="10" max="10" width="32" hidden="0" customWidth="1"/>
    <x:col min="11" max="11" width="32" hidden="0" customWidth="1"/>
    <x:col min="12" max="12" width="32" hidden="0" customWidth="1"/>
    <x:col min="13" max="13" width="32" hidden="0" customWidth="1"/>
    <x:col min="14" max="14" width="32" hidden="0" customWidth="1"/>
    <x:col min="15" max="15" width="44" hidden="0" customWidth="1"/>
    <x:col min="16" max="16" width="32" hidden="0" customWidth="1"/>
    <x:col min="17" max="17" width="32" hidden="0" customWidth="1"/>
    <x:col min="18" max="18" width="32" hidden="0" customWidth="1"/>
    <x:col min="19" max="19" width="32" hidden="0" customWidth="1"/>
    <x:col min="20" max="20" width="44" hidden="0" customWidth="1"/>
    <x:col min="21" max="21" width="32" hidden="0" customWidth="1"/>
    <x:col min="22" max="22" width="32" hidden="0" customWidth="1"/>
    <x:col min="23" max="23" width="32" hidden="0" customWidth="1"/>
    <x:col min="24" max="24" width="32" hidden="0" customWidth="1"/>
    <x:col min="25" max="25" width="44" hidden="0" customWidth="1"/>
    <x:col min="26" max="26" width="32" hidden="0" customWidth="1"/>
    <x:col min="27" max="27" width="32" hidden="0" customWidth="1"/>
    <x:col min="28" max="28" width="44" hidden="0" customWidth="1"/>
    <x:col min="29" max="29" width="32" hidden="0" customWidth="1"/>
  </x:cols>
  <x:sheetData>
    <x:row r="1" ht="19.200000762939453" hidden="0" customHeight="1">
      <x:c r="A1" s="3" t="str">
        <x:v>Corpus de soporte incluido (n = 29)</x:v>
      </x:c>
      <x:c r="B1" s="3" t="str">
        <x:v>Corpus de soporte incluido (n = 29)</x:v>
      </x:c>
      <x:c r="C1" s="3" t="str">
        <x:v>Corpus de soporte incluido (n = 29)</x:v>
      </x:c>
      <x:c r="D1" s="3" t="str">
        <x:v>Corpus de soporte incluido (n = 29)</x:v>
      </x:c>
      <x:c r="E1" s="3" t="str">
        <x:v>Corpus de soporte incluido (n = 29)</x:v>
      </x:c>
      <x:c r="F1" s="3" t="str">
        <x:v>Corpus de soporte incluido (n = 29)</x:v>
      </x:c>
      <x:c r="G1" s="3" t="str">
        <x:v>Corpus de soporte incluido (n = 29)</x:v>
      </x:c>
      <x:c r="H1" s="3" t="str">
        <x:v>Corpus de soporte incluido (n = 29)</x:v>
      </x:c>
      <x:c r="I1" s="3" t="str">
        <x:v>Corpus de soporte incluido (n = 29)</x:v>
      </x:c>
      <x:c r="J1" s="3" t="str">
        <x:v>Corpus de soporte incluido (n = 29)</x:v>
      </x:c>
      <x:c r="K1" s="3" t="str">
        <x:v>Corpus de soporte incluido (n = 29)</x:v>
      </x:c>
      <x:c r="L1" s="3" t="str">
        <x:v>Corpus de soporte incluido (n = 29)</x:v>
      </x:c>
      <x:c r="M1" s="3" t="str">
        <x:v>Corpus de soporte incluido (n = 29)</x:v>
      </x:c>
      <x:c r="N1" s="3" t="str">
        <x:v>Corpus de soporte incluido (n = 29)</x:v>
      </x:c>
      <x:c r="O1" s="3" t="str">
        <x:v>Corpus de soporte incluido (n = 29)</x:v>
      </x:c>
      <x:c r="P1" s="3" t="str">
        <x:v>Corpus de soporte incluido (n = 29)</x:v>
      </x:c>
      <x:c r="Q1" s="3" t="str">
        <x:v>Corpus de soporte incluido (n = 29)</x:v>
      </x:c>
      <x:c r="R1" s="3" t="str">
        <x:v>Corpus de soporte incluido (n = 29)</x:v>
      </x:c>
      <x:c r="S1" s="3" t="str">
        <x:v>Corpus de soporte incluido (n = 29)</x:v>
      </x:c>
      <x:c r="T1" s="3" t="str">
        <x:v>Corpus de soporte incluido (n = 29)</x:v>
      </x:c>
      <x:c r="U1" s="3" t="str">
        <x:v>Corpus de soporte incluido (n = 29)</x:v>
      </x:c>
      <x:c r="V1" s="3" t="str">
        <x:v>Corpus de soporte incluido (n = 29)</x:v>
      </x:c>
      <x:c r="W1" s="3" t="str">
        <x:v>Corpus de soporte incluido (n = 29)</x:v>
      </x:c>
      <x:c r="X1" s="3" t="str">
        <x:v>Corpus de soporte incluido (n = 29)</x:v>
      </x:c>
      <x:c r="Y1" s="3" t="str">
        <x:v>Corpus de soporte incluido (n = 29)</x:v>
      </x:c>
      <x:c r="Z1" s="3" t="str">
        <x:v>Corpus de soporte incluido (n = 29)</x:v>
      </x:c>
      <x:c r="AA1" s="3" t="str">
        <x:v>Corpus de soporte incluido (n = 29)</x:v>
      </x:c>
      <x:c r="AB1" s="3" t="str">
        <x:v>Corpus de soporte incluido (n = 29)</x:v>
      </x:c>
      <x:c r="AC1" s="3" t="str">
        <x:v>Corpus de soporte incluido (n = 29)</x:v>
      </x:c>
    </x:row>
    <x:row r="2" ht="15" hidden="0" customHeight="1">
      <x:c r="A2" s="7" t="str">
        <x:v>Solo documentos con texto completo verificado y una función explícita en el artículo original.</x:v>
      </x:c>
      <x:c r="B2" s="7" t="str">
        <x:v>Solo documentos con texto completo verificado y una función explícita en el artículo original.</x:v>
      </x:c>
      <x:c r="C2" s="7" t="str">
        <x:v>Solo documentos con texto completo verificado y una función explícita en el artículo original.</x:v>
      </x:c>
      <x:c r="D2" s="7" t="str">
        <x:v>Solo documentos con texto completo verificado y una función explícita en el artículo original.</x:v>
      </x:c>
      <x:c r="E2" s="7" t="str">
        <x:v>Solo documentos con texto completo verificado y una función explícita en el artículo original.</x:v>
      </x:c>
      <x:c r="F2" s="7" t="str">
        <x:v>Solo documentos con texto completo verificado y una función explícita en el artículo original.</x:v>
      </x:c>
      <x:c r="G2" s="7" t="str">
        <x:v>Solo documentos con texto completo verificado y una función explícita en el artículo original.</x:v>
      </x:c>
      <x:c r="H2" s="7" t="str">
        <x:v>Solo documentos con texto completo verificado y una función explícita en el artículo original.</x:v>
      </x:c>
      <x:c r="I2" s="7" t="str">
        <x:v>Solo documentos con texto completo verificado y una función explícita en el artículo original.</x:v>
      </x:c>
      <x:c r="J2" s="7" t="str">
        <x:v>Solo documentos con texto completo verificado y una función explícita en el artículo original.</x:v>
      </x:c>
      <x:c r="K2" s="7" t="str">
        <x:v>Solo documentos con texto completo verificado y una función explícita en el artículo original.</x:v>
      </x:c>
      <x:c r="L2" s="7" t="str">
        <x:v>Solo documentos con texto completo verificado y una función explícita en el artículo original.</x:v>
      </x:c>
      <x:c r="M2" s="7" t="str">
        <x:v>Solo documentos con texto completo verificado y una función explícita en el artículo original.</x:v>
      </x:c>
      <x:c r="N2" s="7" t="str">
        <x:v>Solo documentos con texto completo verificado y una función explícita en el artículo original.</x:v>
      </x:c>
      <x:c r="O2" s="7" t="str">
        <x:v>Solo documentos con texto completo verificado y una función explícita en el artículo original.</x:v>
      </x:c>
      <x:c r="P2" s="7" t="str">
        <x:v>Solo documentos con texto completo verificado y una función explícita en el artículo original.</x:v>
      </x:c>
      <x:c r="Q2" s="7" t="str">
        <x:v>Solo documentos con texto completo verificado y una función explícita en el artículo original.</x:v>
      </x:c>
      <x:c r="R2" s="7" t="str">
        <x:v>Solo documentos con texto completo verificado y una función explícita en el artículo original.</x:v>
      </x:c>
      <x:c r="S2" s="7" t="str">
        <x:v>Solo documentos con texto completo verificado y una función explícita en el artículo original.</x:v>
      </x:c>
      <x:c r="T2" s="7" t="str">
        <x:v>Solo documentos con texto completo verificado y una función explícita en el artículo original.</x:v>
      </x:c>
      <x:c r="U2" s="7" t="str">
        <x:v>Solo documentos con texto completo verificado y una función explícita en el artículo original.</x:v>
      </x:c>
      <x:c r="V2" s="7" t="str">
        <x:v>Solo documentos con texto completo verificado y una función explícita en el artículo original.</x:v>
      </x:c>
      <x:c r="W2" s="7" t="str">
        <x:v>Solo documentos con texto completo verificado y una función explícita en el artículo original.</x:v>
      </x:c>
      <x:c r="X2" s="7" t="str">
        <x:v>Solo documentos con texto completo verificado y una función explícita en el artículo original.</x:v>
      </x:c>
      <x:c r="Y2" s="7" t="str">
        <x:v>Solo documentos con texto completo verificado y una función explícita en el artículo original.</x:v>
      </x:c>
      <x:c r="Z2" s="7" t="str">
        <x:v>Solo documentos con texto completo verificado y una función explícita en el artículo original.</x:v>
      </x:c>
      <x:c r="AA2" s="7" t="str">
        <x:v>Solo documentos con texto completo verificado y una función explícita en el artículo original.</x:v>
      </x:c>
      <x:c r="AB2" s="7" t="str">
        <x:v>Solo documentos con texto completo verificado y una función explícita en el artículo original.</x:v>
      </x:c>
      <x:c r="AC2" s="7" t="str">
        <x:v>Solo documentos con texto completo verificado y una función explícita en el artículo original.</x:v>
      </x:c>
    </x:row>
    <x:row r="3" ht="15" hidden="0" customHeight="1">
      <x:c r="A3" s="8"/>
      <x:c r="B3" s="8"/>
      <x:c r="C3" s="8"/>
      <x:c r="D3" s="8"/>
      <x:c r="E3" s="8"/>
      <x:c r="F3" s="8"/>
      <x:c r="G3" s="8"/>
      <x:c r="H3" s="8"/>
      <x:c r="I3" s="8"/>
      <x:c r="J3" s="8"/>
      <x:c r="K3" s="8"/>
      <x:c r="L3" s="8"/>
      <x:c r="M3" s="8"/>
      <x:c r="N3" s="8"/>
      <x:c r="O3" s="8"/>
      <x:c r="P3" s="8"/>
      <x:c r="Q3" s="8"/>
      <x:c r="R3" s="8"/>
      <x:c r="S3" s="8"/>
      <x:c r="T3" s="8"/>
      <x:c r="U3" s="8"/>
      <x:c r="V3" s="8"/>
      <x:c r="W3" s="8"/>
      <x:c r="X3" s="8"/>
      <x:c r="Y3" s="8"/>
      <x:c r="Z3" s="8"/>
      <x:c r="AA3" s="8"/>
      <x:c r="AB3" s="8"/>
      <x:c r="AC3" s="8"/>
    </x:row>
    <x:row r="4"/>
    <x:row r="5" ht="15" hidden="0" customHeight="1">
      <x:c r="A5" s="14" t="str">
        <x:v>﻿record_id</x:v>
      </x:c>
      <x:c r="B5" s="14" t="str">
        <x:v>queue_priority</x:v>
      </x:c>
      <x:c r="C5" s="14" t="str">
        <x:v>title_abstract_status</x:v>
      </x:c>
      <x:c r="D5" s="14" t="str">
        <x:v>title</x:v>
      </x:c>
      <x:c r="E5" s="14" t="str">
        <x:v>authors</x:v>
      </x:c>
      <x:c r="F5" s="14" t="str">
        <x:v>year</x:v>
      </x:c>
      <x:c r="G5" s="14" t="str">
        <x:v>source</x:v>
      </x:c>
      <x:c r="H5" s="14" t="str">
        <x:v>database</x:v>
      </x:c>
      <x:c r="I5" s="14" t="str">
        <x:v>profile</x:v>
      </x:c>
      <x:c r="J5" s="14" t="str">
        <x:v>doi</x:v>
      </x:c>
      <x:c r="K5" s="14" t="str">
        <x:v>record_url</x:v>
      </x:c>
      <x:c r="L5" s="14" t="str">
        <x:v>fulltext_url</x:v>
      </x:c>
      <x:c r="M5" s="14" t="str">
        <x:v>retrieval_status</x:v>
      </x:c>
      <x:c r="N5" s="14" t="str">
        <x:v>access_route</x:v>
      </x:c>
      <x:c r="O5" s="14" t="str">
        <x:v>retrieval_evidence</x:v>
      </x:c>
      <x:c r="P5" s="14" t="str">
        <x:v>pdf_identity_gate</x:v>
      </x:c>
      <x:c r="Q5" s="14" t="str">
        <x:v>fulltext_assessed</x:v>
      </x:c>
      <x:c r="R5" s="14" t="str">
        <x:v>eligibility_status</x:v>
      </x:c>
      <x:c r="S5" s="14" t="str">
        <x:v>final_inclusion</x:v>
      </x:c>
      <x:c r="T5" s="14" t="str">
        <x:v>exclusion_reason</x:v>
      </x:c>
      <x:c r="U5" s="14" t="str">
        <x:v>appraisal_tool</x:v>
      </x:c>
      <x:c r="V5" s="14" t="str">
        <x:v>appraisal_rating</x:v>
      </x:c>
      <x:c r="W5" s="14" t="str">
        <x:v>article_section</x:v>
      </x:c>
      <x:c r="X5" s="14" t="str">
        <x:v>evidence_role</x:v>
      </x:c>
      <x:c r="Y5" s="14" t="str">
        <x:v>democracy_dimension</x:v>
      </x:c>
      <x:c r="Z5" s="14" t="str">
        <x:v>scenario_link</x:v>
      </x:c>
      <x:c r="AA5" s="14" t="str">
        <x:v>claim_supported</x:v>
      </x:c>
      <x:c r="AB5" s="14" t="str">
        <x:v>parameter_effect</x:v>
      </x:c>
      <x:c r="AC5" s="14" t="str">
        <x:v>review_note</x:v>
      </x:c>
    </x:row>
    <x:row r="6" ht="15" hidden="0" customHeight="1">
      <x:c r="A6" s="58" t="str">
        <x:v>R000001</x:v>
      </x:c>
      <x:c r="B6" s="58" t="n">
        <x:v>1</x:v>
      </x:c>
      <x:c r="C6" s="58" t="str">
        <x:v>provisional_include</x:v>
      </x:c>
      <x:c r="D6" s="58" t="str">
        <x:v>Under Pressure: Explaining Backlash Against Civil Society in the Andean Community</x:v>
      </x:c>
      <x:c r="E6" s="58" t="str">
        <x:v>Noah Anders Levine</x:v>
      </x:c>
      <x:c r="F6" s="58" t="n">
        <x:v>2018</x:v>
      </x:c>
      <x:c r="G6" s="58" t="str">
        <x:v>Scholarship @ Claremont (The Claremont Colleges)</x:v>
      </x:c>
      <x:c r="H6" s="58" t="str">
        <x:v>openalex</x:v>
      </x:c>
      <x:c r="I6" s="58" t="str">
        <x:v>module_A_en</x:v>
      </x:c>
      <x:c r="J6" s="58"/>
      <x:c r="K6" s="58" t="str">
        <x:v>https://openalex.org/W2891281268</x:v>
      </x:c>
      <x:c r="L6" s="58" t="str">
        <x:v>https://scholarship.claremont.edu/cgi/viewcontent.cgi?article=1199&amp;context=pomona_theses</x:v>
      </x:c>
      <x:c r="M6" s="58" t="str">
        <x:v>retrieved</x:v>
      </x:c>
      <x:c r="N6" s="58" t="str">
        <x:v>drive_open_access</x:v>
      </x:c>
      <x:c r="O6" s="58" t="str">
        <x:v>Google Drive OA folder; local extraction drive_02.txt</x:v>
      </x:c>
      <x:c r="P6" s="58" t="str">
        <x:v>passed</x:v>
      </x:c>
      <x:c r="Q6" s="58" t="str">
        <x:v>yes</x:v>
      </x:c>
      <x:c r="R6" s="58" t="str">
        <x:v>eligible</x:v>
      </x:c>
      <x:c r="S6" s="58" t="str">
        <x:v>included</x:v>
      </x:c>
      <x:c r="T6" s="58"/>
      <x:c r="U6" s="58" t="str">
        <x:v>AACODS</x:v>
      </x:c>
      <x:c r="V6" s="58" t="str">
        <x:v>moderada</x:v>
      </x:c>
      <x:c r="W6" s="58" t="str">
        <x:v>Introducción y discusión</x:v>
      </x:c>
      <x:c r="X6" s="58" t="str">
        <x:v>contexto de contracción del espacio cívico</x:v>
      </x:c>
      <x:c r="Y6" s="58" t="str">
        <x:v>libertades_civiles</x:v>
      </x:c>
      <x:c r="Z6" s="58" t="str">
        <x:v>restrictivo</x:v>
      </x:c>
      <x:c r="AA6" s="58" t="str">
        <x:v>La presión sobre la sociedad civil ayuda a interpretar riesgos de cierre del espacio cívico.</x:v>
      </x:c>
      <x:c r="AB6" s="58" t="str">
        <x:v>none; bibliographic evidence does not modify model parameters automatically</x:v>
      </x:c>
      <x:c r="AC6" s="58" t="str">
        <x:v>Support corpus for an original article; not a systematic-review outcome.</x:v>
      </x:c>
    </x:row>
    <x:row r="7" ht="15" hidden="0" customHeight="1">
      <x:c r="A7" s="57" t="str">
        <x:v>R000005</x:v>
      </x:c>
      <x:c r="B7" s="57" t="n">
        <x:v>1</x:v>
      </x:c>
      <x:c r="C7" s="57" t="str">
        <x:v>provisional_include</x:v>
      </x:c>
      <x:c r="D7" s="57" t="str">
        <x:v>A Lexical Index of Electoral Democracy</x:v>
      </x:c>
      <x:c r="E7" s="57" t="str">
        <x:v>Svend‐Erik Skaaning; John Gerring; Henrikas Bartusevičius</x:v>
      </x:c>
      <x:c r="F7" s="57" t="n">
        <x:v>2015</x:v>
      </x:c>
      <x:c r="G7" s="57" t="str">
        <x:v>Comparative Political Studies</x:v>
      </x:c>
      <x:c r="H7" s="57" t="str">
        <x:v>openalex</x:v>
      </x:c>
      <x:c r="I7" s="57" t="str">
        <x:v>module_C_en</x:v>
      </x:c>
      <x:c r="J7" s="57" t="str">
        <x:v>10.1177/0010414015581050</x:v>
      </x:c>
      <x:c r="K7" s="57" t="str">
        <x:v>https://openalex.org/W2125688819</x:v>
      </x:c>
      <x:c r="L7" s="57" t="str">
        <x:v>https://pure.au.dk/ws/files/110316577/A_Lexical_Index_of_Electoral_Democracy_postprint_2015.pdf</x:v>
      </x:c>
      <x:c r="M7" s="57" t="str">
        <x:v>retrieved</x:v>
      </x:c>
      <x:c r="N7" s="57" t="str">
        <x:v>drive_open_access</x:v>
      </x:c>
      <x:c r="O7" s="57" t="str">
        <x:v>Google Drive OA folder; local extraction drive_27.txt</x:v>
      </x:c>
      <x:c r="P7" s="57" t="str">
        <x:v>passed</x:v>
      </x:c>
      <x:c r="Q7" s="57" t="str">
        <x:v>yes</x:v>
      </x:c>
      <x:c r="R7" s="57" t="str">
        <x:v>eligible</x:v>
      </x:c>
      <x:c r="S7" s="57" t="str">
        <x:v>included</x:v>
      </x:c>
      <x:c r="T7" s="57"/>
      <x:c r="U7" s="57" t="str">
        <x:v>METHOD_RELEVANCE</x:v>
      </x:c>
      <x:c r="V7" s="57" t="str">
        <x:v>alta</x:v>
      </x:c>
      <x:c r="W7" s="57" t="str">
        <x:v>Métodos</x:v>
      </x:c>
      <x:c r="X7" s="57" t="str">
        <x:v>fundamento de medición ordinal</x:v>
      </x:c>
      <x:c r="Y7" s="57" t="str">
        <x:v>medición_multidimensional</x:v>
      </x:c>
      <x:c r="Z7" s="57" t="str">
        <x:v>transversal</x:v>
      </x:c>
      <x:c r="AA7" s="57" t="str">
        <x:v>Las escalas ordinales exigen transparencia sobre reglas y límites inferenciales.</x:v>
      </x:c>
      <x:c r="AB7" s="57" t="str">
        <x:v>none; bibliographic evidence does not modify model parameters automatically</x:v>
      </x:c>
      <x:c r="AC7" s="57" t="str">
        <x:v>Support corpus for an original article; not a systematic-review outcome.</x:v>
      </x:c>
    </x:row>
    <x:row r="8" ht="15" hidden="0" customHeight="1">
      <x:c r="A8" s="58" t="str">
        <x:v>R000017</x:v>
      </x:c>
      <x:c r="B8" s="58" t="n">
        <x:v>1</x:v>
      </x:c>
      <x:c r="C8" s="58" t="str">
        <x:v>provisional_include</x:v>
      </x:c>
      <x:c r="D8" s="58" t="str">
        <x:v>An Ordinal, Concept-driven Approach to Measurement: The Lexical Scale</x:v>
      </x:c>
      <x:c r="E8" s="58" t="str">
        <x:v>John Gerring; Daniel Pemstein; Svend‐Erik Skaaning</x:v>
      </x:c>
      <x:c r="F8" s="58" t="n">
        <x:v>2018</x:v>
      </x:c>
      <x:c r="G8" s="58" t="str">
        <x:v>Sociological Methods &amp; Research</x:v>
      </x:c>
      <x:c r="H8" s="58" t="str">
        <x:v>openalex</x:v>
      </x:c>
      <x:c r="I8" s="58" t="str">
        <x:v>module_C_en</x:v>
      </x:c>
      <x:c r="J8" s="58" t="str">
        <x:v>10.1177/0049124118782531</x:v>
      </x:c>
      <x:c r="K8" s="58" t="str">
        <x:v>https://openalex.org/W2882834800</x:v>
      </x:c>
      <x:c r="L8" s="58" t="str">
        <x:v>https://journals.sagepub.com/doi/pdf/10.1177/0049124118782531</x:v>
      </x:c>
      <x:c r="M8" s="58" t="str">
        <x:v>retrieved</x:v>
      </x:c>
      <x:c r="N8" s="58" t="str">
        <x:v>drive_open_access</x:v>
      </x:c>
      <x:c r="O8" s="58" t="str">
        <x:v>Google Drive OA folder; local extraction drive_26.txt</x:v>
      </x:c>
      <x:c r="P8" s="58" t="str">
        <x:v>passed</x:v>
      </x:c>
      <x:c r="Q8" s="58" t="str">
        <x:v>yes</x:v>
      </x:c>
      <x:c r="R8" s="58" t="str">
        <x:v>eligible</x:v>
      </x:c>
      <x:c r="S8" s="58" t="str">
        <x:v>included</x:v>
      </x:c>
      <x:c r="T8" s="58"/>
      <x:c r="U8" s="58" t="str">
        <x:v>METHOD_RELEVANCE</x:v>
      </x:c>
      <x:c r="V8" s="58" t="str">
        <x:v>alta</x:v>
      </x:c>
      <x:c r="W8" s="58" t="str">
        <x:v>Métodos y limitaciones</x:v>
      </x:c>
      <x:c r="X8" s="58" t="str">
        <x:v>validez de escalas democráticas</x:v>
      </x:c>
      <x:c r="Y8" s="58" t="str">
        <x:v>medición_multidimensional</x:v>
      </x:c>
      <x:c r="Z8" s="58" t="str">
        <x:v>transversal</x:v>
      </x:c>
      <x:c r="AA8" s="58" t="str">
        <x:v>La construcción de escalas democráticas requiere coherencia conceptual y comparabilidad.</x:v>
      </x:c>
      <x:c r="AB8" s="58" t="str">
        <x:v>none; bibliographic evidence does not modify model parameters automatically</x:v>
      </x:c>
      <x:c r="AC8" s="58" t="str">
        <x:v>Support corpus for an original article; not a systematic-review outcome.</x:v>
      </x:c>
    </x:row>
    <x:row r="9" ht="15" hidden="0" customHeight="1">
      <x:c r="A9" s="57" t="str">
        <x:v>R000019</x:v>
      </x:c>
      <x:c r="B9" s="57" t="n">
        <x:v>1</x:v>
      </x:c>
      <x:c r="C9" s="57" t="str">
        <x:v>provisional_include</x:v>
      </x:c>
      <x:c r="D9" s="57" t="str">
        <x:v>Quality Assessment of the Academic Freedom Index: Strengths, Weaknesses, and How Best to Use It</x:v>
      </x:c>
      <x:c r="E9" s="57" t="str">
        <x:v>Lars Lott; Janika Spannagel</x:v>
      </x:c>
      <x:c r="F9" s="57" t="n">
        <x:v>2025</x:v>
      </x:c>
      <x:c r="G9" s="57" t="str">
        <x:v>Perspectives on Politics</x:v>
      </x:c>
      <x:c r="H9" s="57" t="str">
        <x:v>openalex</x:v>
      </x:c>
      <x:c r="I9" s="57" t="str">
        <x:v>module_C_en</x:v>
      </x:c>
      <x:c r="J9" s="57" t="str">
        <x:v>10.1017/s1537592724001968</x:v>
      </x:c>
      <x:c r="K9" s="57" t="str">
        <x:v>https://openalex.org/W4407763555</x:v>
      </x:c>
      <x:c r="L9" s="57" t="str">
        <x:v>https://www.cambridge.org/core/services/aop-cambridge-core/content/view/66A24D272BAC6A6191BED41942691ACD/S1537592724001968a.pdf/div-class-title-quality-assessment-of-the-academic-freedom-index-strengths-weaknesses-and-how-best-to-use-it-div.pdf</x:v>
      </x:c>
      <x:c r="M9" s="57" t="str">
        <x:v>retrieved</x:v>
      </x:c>
      <x:c r="N9" s="57" t="str">
        <x:v>drive_open_access</x:v>
      </x:c>
      <x:c r="O9" s="57" t="str">
        <x:v>Google Drive OA folder; local extraction drive_06.txt</x:v>
      </x:c>
      <x:c r="P9" s="57" t="str">
        <x:v>passed</x:v>
      </x:c>
      <x:c r="Q9" s="57" t="str">
        <x:v>yes</x:v>
      </x:c>
      <x:c r="R9" s="57" t="str">
        <x:v>eligible</x:v>
      </x:c>
      <x:c r="S9" s="57" t="str">
        <x:v>included</x:v>
      </x:c>
      <x:c r="T9" s="57"/>
      <x:c r="U9" s="57" t="str">
        <x:v>MMAT_2018</x:v>
      </x:c>
      <x:c r="V9" s="57" t="str">
        <x:v>alta</x:v>
      </x:c>
      <x:c r="W9" s="57" t="str">
        <x:v>Métodos y limitaciones</x:v>
      </x:c>
      <x:c r="X9" s="57" t="str">
        <x:v>calidad y cobertura de índices</x:v>
      </x:c>
      <x:c r="Y9" s="57" t="str">
        <x:v>medición_multidimensional</x:v>
      </x:c>
      <x:c r="Z9" s="57" t="str">
        <x:v>transversal</x:v>
      </x:c>
      <x:c r="AA9" s="57" t="str">
        <x:v>Los índices comparados deben declarar cobertura, agregación e incertidumbre.</x:v>
      </x:c>
      <x:c r="AB9" s="57" t="str">
        <x:v>none; bibliographic evidence does not modify model parameters automatically</x:v>
      </x:c>
      <x:c r="AC9" s="57" t="str">
        <x:v>Support corpus for an original article; not a systematic-review outcome.</x:v>
      </x:c>
    </x:row>
    <x:row r="10" ht="15" hidden="0" customHeight="1">
      <x:c r="A10" s="58" t="str">
        <x:v>R000057</x:v>
      </x:c>
      <x:c r="B10" s="58" t="n">
        <x:v>1</x:v>
      </x:c>
      <x:c r="C10" s="58" t="str">
        <x:v>provisional_include</x:v>
      </x:c>
      <x:c r="D10" s="58" t="str">
        <x:v>Populismo y retroceso democrático en América Latina</x:v>
      </x:c>
      <x:c r="E10" s="58" t="str">
        <x:v>Alejandra Armesto</x:v>
      </x:c>
      <x:c r="F10" s="58" t="n">
        <x:v>2025</x:v>
      </x:c>
      <x:c r="G10" s="58" t="str">
        <x:v>Revista Latinoamericana sobre Democracia</x:v>
      </x:c>
      <x:c r="H10" s="58" t="str">
        <x:v>crossref</x:v>
      </x:c>
      <x:c r="I10" s="58" t="str">
        <x:v>module_A_es</x:v>
      </x:c>
      <x:c r="J10" s="58" t="str">
        <x:v>10.22201/iis.rld.2025.00.10</x:v>
      </x:c>
      <x:c r="K10" s="58" t="str">
        <x:v>https://doi.org/10.22201/iis.rld.2025.00.10</x:v>
      </x:c>
      <x:c r="L10" s="58" t="str">
        <x:v>https://www.rld.sociales.unam.mx/index.php/relade/article/download/10/5</x:v>
      </x:c>
      <x:c r="M10" s="58" t="str">
        <x:v>retrieved</x:v>
      </x:c>
      <x:c r="N10" s="58" t="str">
        <x:v>drive_open_access</x:v>
      </x:c>
      <x:c r="O10" s="58" t="str">
        <x:v>Google Drive OA folder; local extraction drive_10.txt</x:v>
      </x:c>
      <x:c r="P10" s="58" t="str">
        <x:v>passed</x:v>
      </x:c>
      <x:c r="Q10" s="58" t="str">
        <x:v>yes</x:v>
      </x:c>
      <x:c r="R10" s="58" t="str">
        <x:v>eligible</x:v>
      </x:c>
      <x:c r="S10" s="58" t="str">
        <x:v>included</x:v>
      </x:c>
      <x:c r="T10" s="58"/>
      <x:c r="U10" s="58" t="str">
        <x:v>MMAT_2018</x:v>
      </x:c>
      <x:c r="V10" s="58" t="str">
        <x:v>alta</x:v>
      </x:c>
      <x:c r="W10" s="58" t="str">
        <x:v>Introducción y discusión</x:v>
      </x:c>
      <x:c r="X10" s="58" t="str">
        <x:v>mecanismo populismo-retroceso</x:v>
      </x:c>
      <x:c r="Y10" s="58" t="str">
        <x:v>cultura_politica</x:v>
      </x:c>
      <x:c r="Z10" s="58" t="str">
        <x:v>restrictivo</x:v>
      </x:c>
      <x:c r="AA10" s="58" t="str">
        <x:v>El populismo puede articularse con procesos graduales de retroceso democrático.</x:v>
      </x:c>
      <x:c r="AB10" s="58" t="str">
        <x:v>none; bibliographic evidence does not modify model parameters automatically</x:v>
      </x:c>
      <x:c r="AC10" s="58" t="str">
        <x:v>Support corpus for an original article; not a systematic-review outcome.</x:v>
      </x:c>
    </x:row>
    <x:row r="11" ht="15" hidden="0" customHeight="1">
      <x:c r="A11" s="57" t="str">
        <x:v>R000064</x:v>
      </x:c>
      <x:c r="B11" s="57" t="n">
        <x:v>1</x:v>
      </x:c>
      <x:c r="C11" s="57" t="str">
        <x:v>provisional_include</x:v>
      </x:c>
      <x:c r="D11" s="57" t="str">
        <x:v>La militarización de la política democrática en América Latina y sus efectos sobre la calidad del régimen</x:v>
      </x:c>
      <x:c r="E11" s="57" t="str">
        <x:v>Alexander Arciniegas-Carreño; Luis Antonio González-Tule; João Carlos Amoroso Botelho</x:v>
      </x:c>
      <x:c r="F11" s="57" t="n">
        <x:v>2025</x:v>
      </x:c>
      <x:c r="G11" s="57" t="str">
        <x:v>Íconos - Revista de Ciencias Sociales</x:v>
      </x:c>
      <x:c r="H11" s="57" t="str">
        <x:v>crossref</x:v>
      </x:c>
      <x:c r="I11" s="57" t="str">
        <x:v>module_A_es</x:v>
      </x:c>
      <x:c r="J11" s="57" t="str">
        <x:v>10.17141/iconos.83.2025.6607</x:v>
      </x:c>
      <x:c r="K11" s="57" t="str">
        <x:v>https://doi.org/10.17141/iconos.83.2025.6607</x:v>
      </x:c>
      <x:c r="L11" s="57" t="str">
        <x:v>https://iconos.flacsoandes.edu.ec/index.php/iconos/article/download/6607/4800</x:v>
      </x:c>
      <x:c r="M11" s="57" t="str">
        <x:v>retrieved</x:v>
      </x:c>
      <x:c r="N11" s="57" t="str">
        <x:v>drive_open_access</x:v>
      </x:c>
      <x:c r="O11" s="57" t="str">
        <x:v>Google Drive OA folder; local extraction drive_15.txt</x:v>
      </x:c>
      <x:c r="P11" s="57" t="str">
        <x:v>passed</x:v>
      </x:c>
      <x:c r="Q11" s="57" t="str">
        <x:v>yes</x:v>
      </x:c>
      <x:c r="R11" s="57" t="str">
        <x:v>eligible</x:v>
      </x:c>
      <x:c r="S11" s="57" t="str">
        <x:v>included</x:v>
      </x:c>
      <x:c r="T11" s="57"/>
      <x:c r="U11" s="57" t="str">
        <x:v>MMAT_2018</x:v>
      </x:c>
      <x:c r="V11" s="57" t="str">
        <x:v>alta</x:v>
      </x:c>
      <x:c r="W11" s="57" t="str">
        <x:v>Discusión</x:v>
      </x:c>
      <x:c r="X11" s="57" t="str">
        <x:v>militarización y control civil</x:v>
      </x:c>
      <x:c r="Y11" s="57" t="str">
        <x:v>funcionamiento_gobierno</x:v>
      </x:c>
      <x:c r="Z11" s="57" t="str">
        <x:v>restrictivo</x:v>
      </x:c>
      <x:c r="AA11" s="57" t="str">
        <x:v>La militarización amplía riesgos para controles civiles y rendición de cuentas.</x:v>
      </x:c>
      <x:c r="AB11" s="57" t="str">
        <x:v>none; bibliographic evidence does not modify model parameters automatically</x:v>
      </x:c>
      <x:c r="AC11" s="57" t="str">
        <x:v>Support corpus for an original article; not a systematic-review outcome.</x:v>
      </x:c>
    </x:row>
    <x:row r="12" ht="15" hidden="0" customHeight="1">
      <x:c r="A12" s="58" t="str">
        <x:v>R000066</x:v>
      </x:c>
      <x:c r="B12" s="58" t="n">
        <x:v>1</x:v>
      </x:c>
      <x:c r="C12" s="58" t="str">
        <x:v>provisional_include</x:v>
      </x:c>
      <x:c r="D12" s="58" t="str">
        <x:v>El fortalecimiento de la calidad de la democracia en América Latina. Una propuesta a partir de la gobernanza democrática</x:v>
      </x:c>
      <x:c r="E12" s="58" t="str">
        <x:v>Jose Manuel Ledezma Rosas; Enoc Francisco Morán Torres</x:v>
      </x:c>
      <x:c r="F12" s="58" t="n">
        <x:v>2020</x:v>
      </x:c>
      <x:c r="G12" s="58" t="str">
        <x:v>Revista Eurolatinoamericana de Derecho Administrativo</x:v>
      </x:c>
      <x:c r="H12" s="58" t="str">
        <x:v>crossref</x:v>
      </x:c>
      <x:c r="I12" s="58" t="str">
        <x:v>module_A_es</x:v>
      </x:c>
      <x:c r="J12" s="58" t="str">
        <x:v>10.14409/redoeda.v7i2.9721</x:v>
      </x:c>
      <x:c r="K12" s="58" t="str">
        <x:v>https://doi.org/10.14409/redoeda.v7i2.9721</x:v>
      </x:c>
      <x:c r="L12" s="58" t="str">
        <x:v>https://bibliotecavirtual.unl.edu.ar/publicaciones/index.php/Redoeda/article/download/9721/13557</x:v>
      </x:c>
      <x:c r="M12" s="58" t="str">
        <x:v>retrieved</x:v>
      </x:c>
      <x:c r="N12" s="58" t="str">
        <x:v>drive_open_access</x:v>
      </x:c>
      <x:c r="O12" s="58" t="str">
        <x:v>Google Drive OA folder; local extraction drive_21.txt</x:v>
      </x:c>
      <x:c r="P12" s="58" t="str">
        <x:v>passed</x:v>
      </x:c>
      <x:c r="Q12" s="58" t="str">
        <x:v>yes</x:v>
      </x:c>
      <x:c r="R12" s="58" t="str">
        <x:v>eligible</x:v>
      </x:c>
      <x:c r="S12" s="58" t="str">
        <x:v>included</x:v>
      </x:c>
      <x:c r="T12" s="58"/>
      <x:c r="U12" s="58" t="str">
        <x:v>MMAT_2018</x:v>
      </x:c>
      <x:c r="V12" s="58" t="str">
        <x:v>moderada</x:v>
      </x:c>
      <x:c r="W12" s="58" t="str">
        <x:v>Introducción y discusión</x:v>
      </x:c>
      <x:c r="X12" s="58" t="str">
        <x:v>gobernanza democrática</x:v>
      </x:c>
      <x:c r="Y12" s="58" t="str">
        <x:v>funcionamiento_gobierno</x:v>
      </x:c>
      <x:c r="Z12" s="58" t="str">
        <x:v>recuperacion</x:v>
      </x:c>
      <x:c r="AA12" s="58" t="str">
        <x:v>La gobernanza democrática depende de instituciones eficaces y responsables.</x:v>
      </x:c>
      <x:c r="AB12" s="58" t="str">
        <x:v>none; bibliographic evidence does not modify model parameters automatically</x:v>
      </x:c>
      <x:c r="AC12" s="58" t="str">
        <x:v>Support corpus for an original article; not a systematic-review outcome.</x:v>
      </x:c>
    </x:row>
    <x:row r="13" ht="15" hidden="0" customHeight="1">
      <x:c r="A13" s="57" t="str">
        <x:v>R000070</x:v>
      </x:c>
      <x:c r="B13" s="57" t="n">
        <x:v>1</x:v>
      </x:c>
      <x:c r="C13" s="57" t="str">
        <x:v>provisional_include</x:v>
      </x:c>
      <x:c r="D13" s="57" t="str">
        <x:v>Perspectivas sobre desenvolvimento democrático e qualidade da democracia: Brasil e América Latina</x:v>
      </x:c>
      <x:c r="E13" s="57" t="str">
        <x:v>Maria Celina D’Araujo; Guilherme Leite Ribeiro</x:v>
      </x:c>
      <x:c r="F13" s="57" t="n">
        <x:v>2016</x:v>
      </x:c>
      <x:c r="G13" s="57" t="str">
        <x:v>Sociedade e Cultura</x:v>
      </x:c>
      <x:c r="H13" s="57" t="str">
        <x:v>crossref</x:v>
      </x:c>
      <x:c r="I13" s="57" t="str">
        <x:v>module_A_pt</x:v>
      </x:c>
      <x:c r="J13" s="57" t="str">
        <x:v>10.5216/sec.v18i2.42375</x:v>
      </x:c>
      <x:c r="K13" s="57" t="str">
        <x:v>https://doi.org/10.5216/sec.v18i2.42375</x:v>
      </x:c>
      <x:c r="L13" s="57" t="str">
        <x:v>https://www.revistas.ufg.br/fchf/article/download/42375/21335</x:v>
      </x:c>
      <x:c r="M13" s="57" t="str">
        <x:v>retrieved</x:v>
      </x:c>
      <x:c r="N13" s="57" t="str">
        <x:v>drive_open_access</x:v>
      </x:c>
      <x:c r="O13" s="57" t="str">
        <x:v>Google Drive OA folder; local extraction drive_11.txt</x:v>
      </x:c>
      <x:c r="P13" s="57" t="str">
        <x:v>passed</x:v>
      </x:c>
      <x:c r="Q13" s="57" t="str">
        <x:v>yes</x:v>
      </x:c>
      <x:c r="R13" s="57" t="str">
        <x:v>eligible</x:v>
      </x:c>
      <x:c r="S13" s="57" t="str">
        <x:v>included</x:v>
      </x:c>
      <x:c r="T13" s="57"/>
      <x:c r="U13" s="57" t="str">
        <x:v>MMAT_2018</x:v>
      </x:c>
      <x:c r="V13" s="57" t="str">
        <x:v>alta</x:v>
      </x:c>
      <x:c r="W13" s="57" t="str">
        <x:v>Introducción y discusión</x:v>
      </x:c>
      <x:c r="X13" s="57" t="str">
        <x:v>enfoque multidimensional</x:v>
      </x:c>
      <x:c r="Y13" s="57" t="str">
        <x:v>medición_multidimensional</x:v>
      </x:c>
      <x:c r="Z13" s="57" t="str">
        <x:v>transversal</x:v>
      </x:c>
      <x:c r="AA13" s="57" t="str">
        <x:v>La calidad democrática debe interpretarse como un constructo multidimensional.</x:v>
      </x:c>
      <x:c r="AB13" s="57" t="str">
        <x:v>none; bibliographic evidence does not modify model parameters automatically</x:v>
      </x:c>
      <x:c r="AC13" s="57" t="str">
        <x:v>Support corpus for an original article; not a systematic-review outcome.</x:v>
      </x:c>
    </x:row>
    <x:row r="14" ht="15" hidden="0" customHeight="1">
      <x:c r="A14" s="58" t="str">
        <x:v>R000093</x:v>
      </x:c>
      <x:c r="B14" s="58" t="n">
        <x:v>1</x:v>
      </x:c>
      <x:c r="C14" s="58" t="str">
        <x:v>provisional_include</x:v>
      </x:c>
      <x:c r="D14" s="58" t="str">
        <x:v>Cultura política y construcción de ciudadanía: hacia una Dirección de Participación Electoral en el Gobierno del Estado de México</x:v>
      </x:c>
      <x:c r="E14" s="58" t="str">
        <x:v>ERICK JOSUE PEREZ DIAZ</x:v>
      </x:c>
      <x:c r="F14" s="58" t="n">
        <x:v>2025</x:v>
      </x:c>
      <x:c r="G14" s="58" t="str">
        <x:v>Espacios Públicos</x:v>
      </x:c>
      <x:c r="H14" s="58" t="str">
        <x:v>crossref</x:v>
      </x:c>
      <x:c r="I14" s="58" t="str">
        <x:v>module_B_es</x:v>
      </x:c>
      <x:c r="J14" s="58" t="str">
        <x:v>10.36677/espaciospublicos.v26i64.24832</x:v>
      </x:c>
      <x:c r="K14" s="58" t="str">
        <x:v>https://doi.org/10.36677/espaciospublicos.v26i64.24832</x:v>
      </x:c>
      <x:c r="L14" s="58" t="str">
        <x:v>https://doi.org/10.36677/espaciospublicos.v26i64.24832</x:v>
      </x:c>
      <x:c r="M14" s="58" t="str">
        <x:v>retrieved</x:v>
      </x:c>
      <x:c r="N14" s="58" t="str">
        <x:v>drive_open_access</x:v>
      </x:c>
      <x:c r="O14" s="58" t="str">
        <x:v>Google Drive OA folder; local extraction drive_22.txt</x:v>
      </x:c>
      <x:c r="P14" s="58" t="str">
        <x:v>passed</x:v>
      </x:c>
      <x:c r="Q14" s="58" t="str">
        <x:v>yes</x:v>
      </x:c>
      <x:c r="R14" s="58" t="str">
        <x:v>eligible</x:v>
      </x:c>
      <x:c r="S14" s="58" t="str">
        <x:v>included</x:v>
      </x:c>
      <x:c r="T14" s="58"/>
      <x:c r="U14" s="58" t="str">
        <x:v>MMAT_2018</x:v>
      </x:c>
      <x:c r="V14" s="58" t="str">
        <x:v>moderada</x:v>
      </x:c>
      <x:c r="W14" s="58" t="str">
        <x:v>Discusión</x:v>
      </x:c>
      <x:c r="X14" s="58" t="str">
        <x:v>cultura política y ciudadanía</x:v>
      </x:c>
      <x:c r="Y14" s="58" t="str">
        <x:v>cultura_politica</x:v>
      </x:c>
      <x:c r="Z14" s="58" t="str">
        <x:v>continuidad</x:v>
      </x:c>
      <x:c r="AA14" s="58" t="str">
        <x:v>La participación y cultura cívica condicionan la sostenibilidad democrática.</x:v>
      </x:c>
      <x:c r="AB14" s="58" t="str">
        <x:v>none; bibliographic evidence does not modify model parameters automatically</x:v>
      </x:c>
      <x:c r="AC14" s="58" t="str">
        <x:v>Support corpus for an original article; not a systematic-review outcome.</x:v>
      </x:c>
    </x:row>
    <x:row r="15" ht="15" hidden="0" customHeight="1">
      <x:c r="A15" s="57" t="str">
        <x:v>R000098</x:v>
      </x:c>
      <x:c r="B15" s="57" t="n">
        <x:v>1</x:v>
      </x:c>
      <x:c r="C15" s="57" t="str">
        <x:v>provisional_include</x:v>
      </x:c>
      <x:c r="D15" s="57" t="str">
        <x:v>Cuando la integridad electoral está en riesgo: democracia, fraude e instituciones en América Latina</x:v>
      </x:c>
      <x:c r="E15" s="57" t="str">
        <x:v>Danillo Rafael Batista</x:v>
      </x:c>
      <x:c r="F15" s="57" t="n">
        <x:v>2024</x:v>
      </x:c>
      <x:c r="G15" s="57" t="str">
        <x:v>Revista Uruguaya de Ciencia Política</x:v>
      </x:c>
      <x:c r="H15" s="57" t="str">
        <x:v>crossref</x:v>
      </x:c>
      <x:c r="I15" s="57" t="str">
        <x:v>module_B_es</x:v>
      </x:c>
      <x:c r="J15" s="57" t="str">
        <x:v>10.26851/rucp.33.10</x:v>
      </x:c>
      <x:c r="K15" s="57" t="str">
        <x:v>https://doi.org/10.26851/rucp.33.10</x:v>
      </x:c>
      <x:c r="L15" s="57" t="str">
        <x:v>https://rucp.cienciassociales.edu.uy/index.php/rucp/article/download/661/432</x:v>
      </x:c>
      <x:c r="M15" s="57" t="str">
        <x:v>retrieved</x:v>
      </x:c>
      <x:c r="N15" s="57" t="str">
        <x:v>legal_open_web</x:v>
      </x:c>
      <x:c r="O15" s="57" t="str">
        <x:v>publisher_OA_pdf</x:v>
      </x:c>
      <x:c r="P15" s="57" t="str">
        <x:v>passed</x:v>
      </x:c>
      <x:c r="Q15" s="57" t="str">
        <x:v>yes</x:v>
      </x:c>
      <x:c r="R15" s="57" t="str">
        <x:v>eligible</x:v>
      </x:c>
      <x:c r="S15" s="57" t="str">
        <x:v>included</x:v>
      </x:c>
      <x:c r="T15" s="57"/>
      <x:c r="U15" s="57" t="str">
        <x:v>MMAT_2018</x:v>
      </x:c>
      <x:c r="V15" s="57" t="str">
        <x:v>alta</x:v>
      </x:c>
      <x:c r="W15" s="57" t="str">
        <x:v>Métodos y discusión</x:v>
      </x:c>
      <x:c r="X15" s="57" t="str">
        <x:v>integridad electoral</x:v>
      </x:c>
      <x:c r="Y15" s="57" t="str">
        <x:v>proceso_electoral</x:v>
      </x:c>
      <x:c r="Z15" s="57" t="str">
        <x:v>transversal</x:v>
      </x:c>
      <x:c r="AA15" s="57" t="str">
        <x:v>La integridad electoral es una dimensión diferenciada de la calidad democrática.</x:v>
      </x:c>
      <x:c r="AB15" s="57" t="str">
        <x:v>none; bibliographic evidence does not modify model parameters automatically</x:v>
      </x:c>
      <x:c r="AC15" s="57" t="str">
        <x:v>Support corpus for an original article; not a systematic-review outcome.</x:v>
      </x:c>
    </x:row>
    <x:row r="16" ht="15" hidden="0" customHeight="1">
      <x:c r="A16" s="58" t="str">
        <x:v>R000173</x:v>
      </x:c>
      <x:c r="B16" s="58" t="n">
        <x:v>1</x:v>
      </x:c>
      <x:c r="C16" s="58" t="str">
        <x:v>provisional_include</x:v>
      </x:c>
      <x:c r="D16" s="58" t="str">
        <x:v>Elecciones Generales Perú 2021: claves para diseccionar las elecciones del Bicentenario</x:v>
      </x:c>
      <x:c r="E16" s="58" t="str">
        <x:v>Henry Ayala Abril</x:v>
      </x:c>
      <x:c r="F16" s="58" t="n">
        <x:v>2021</x:v>
      </x:c>
      <x:c r="G16" s="58" t="str">
        <x:v>Revista Elecciones</x:v>
      </x:c>
      <x:c r="H16" s="58" t="str">
        <x:v>crossref</x:v>
      </x:c>
      <x:c r="I16" s="58" t="str">
        <x:v>module_E_es</x:v>
      </x:c>
      <x:c r="J16" s="58" t="str">
        <x:v>10.53557/elecciones.2021.v20n21.14</x:v>
      </x:c>
      <x:c r="K16" s="58" t="str">
        <x:v>https://doi.org/10.53557/elecciones.2021.v20n21.14</x:v>
      </x:c>
      <x:c r="L16" s="58" t="str">
        <x:v>https://doi.org/10.53557/elecciones.2021.v20n21.14</x:v>
      </x:c>
      <x:c r="M16" s="58" t="str">
        <x:v>retrieved</x:v>
      </x:c>
      <x:c r="N16" s="58" t="str">
        <x:v>drive_open_access</x:v>
      </x:c>
      <x:c r="O16" s="58" t="str">
        <x:v>Google Drive OA folder; local extraction drive_20.txt</x:v>
      </x:c>
      <x:c r="P16" s="58" t="str">
        <x:v>passed</x:v>
      </x:c>
      <x:c r="Q16" s="58" t="str">
        <x:v>yes</x:v>
      </x:c>
      <x:c r="R16" s="58" t="str">
        <x:v>eligible</x:v>
      </x:c>
      <x:c r="S16" s="58" t="str">
        <x:v>included</x:v>
      </x:c>
      <x:c r="T16" s="58"/>
      <x:c r="U16" s="58" t="str">
        <x:v>MMAT_2018</x:v>
      </x:c>
      <x:c r="V16" s="58" t="str">
        <x:v>alta</x:v>
      </x:c>
      <x:c r="W16" s="58" t="str">
        <x:v>Resultados y discusión</x:v>
      </x:c>
      <x:c r="X16" s="58" t="str">
        <x:v>contexto electoral subnacional</x:v>
      </x:c>
      <x:c r="Y16" s="58" t="str">
        <x:v>proceso_electoral</x:v>
      </x:c>
      <x:c r="Z16" s="58" t="str">
        <x:v>continuidad</x:v>
      </x:c>
      <x:c r="AA16" s="58" t="str">
        <x:v>Las elecciones regionales y municipales aportan contexto a la trayectoria institucional reciente.</x:v>
      </x:c>
      <x:c r="AB16" s="58" t="str">
        <x:v>none; bibliographic evidence does not modify model parameters automatically</x:v>
      </x:c>
      <x:c r="AC16" s="58" t="str">
        <x:v>Support corpus for an original article; not a systematic-review outcome.</x:v>
      </x:c>
    </x:row>
    <x:row r="17" ht="15" hidden="0" customHeight="1">
      <x:c r="A17" s="57" t="str">
        <x:v>R000174</x:v>
      </x:c>
      <x:c r="B17" s="57" t="n">
        <x:v>1</x:v>
      </x:c>
      <x:c r="C17" s="57" t="str">
        <x:v>provisional_include</x:v>
      </x:c>
      <x:c r="D17" s="57" t="str">
        <x:v>Elecciones Internas Perú 2022: abriendo la “caja negra” de los datos electorales</x:v>
      </x:c>
      <x:c r="E17" s="57" t="str">
        <x:v>Narda Carranza Pinedo</x:v>
      </x:c>
      <x:c r="F17" s="57" t="n">
        <x:v>2022</x:v>
      </x:c>
      <x:c r="G17" s="57" t="str">
        <x:v>Revista Elecciones</x:v>
      </x:c>
      <x:c r="H17" s="57" t="str">
        <x:v>crossref</x:v>
      </x:c>
      <x:c r="I17" s="57" t="str">
        <x:v>module_E_es</x:v>
      </x:c>
      <x:c r="J17" s="57" t="str">
        <x:v>10.53557/elecciones.2022.v21n23.11</x:v>
      </x:c>
      <x:c r="K17" s="57" t="str">
        <x:v>https://doi.org/10.53557/elecciones.2022.v21n23.11</x:v>
      </x:c>
      <x:c r="L17" s="57" t="str">
        <x:v>https://revistas.onpe.gob.pe/index.php/elecciones/article/download/247/601</x:v>
      </x:c>
      <x:c r="M17" s="57" t="str">
        <x:v>retrieved</x:v>
      </x:c>
      <x:c r="N17" s="57" t="str">
        <x:v>drive_open_access</x:v>
      </x:c>
      <x:c r="O17" s="57" t="str">
        <x:v>Google Drive OA folder; local extraction drive_19.txt</x:v>
      </x:c>
      <x:c r="P17" s="57" t="str">
        <x:v>passed</x:v>
      </x:c>
      <x:c r="Q17" s="57" t="str">
        <x:v>yes</x:v>
      </x:c>
      <x:c r="R17" s="57" t="str">
        <x:v>eligible</x:v>
      </x:c>
      <x:c r="S17" s="57" t="str">
        <x:v>included</x:v>
      </x:c>
      <x:c r="T17" s="57"/>
      <x:c r="U17" s="57" t="str">
        <x:v>MMAT_2018</x:v>
      </x:c>
      <x:c r="V17" s="57" t="str">
        <x:v>alta</x:v>
      </x:c>
      <x:c r="W17" s="57" t="str">
        <x:v>Resultados y discusión</x:v>
      </x:c>
      <x:c r="X17" s="57" t="str">
        <x:v>contexto electoral nacional</x:v>
      </x:c>
      <x:c r="Y17" s="57" t="str">
        <x:v>proceso_electoral</x:v>
      </x:c>
      <x:c r="Z17" s="57" t="str">
        <x:v>continuidad</x:v>
      </x:c>
      <x:c r="AA17" s="57" t="str">
        <x:v>El proceso electoral de 2021 permite contextualizar la competencia política peruana.</x:v>
      </x:c>
      <x:c r="AB17" s="57" t="str">
        <x:v>none; bibliographic evidence does not modify model parameters automatically</x:v>
      </x:c>
      <x:c r="AC17" s="57" t="str">
        <x:v>Support corpus for an original article; not a systematic-review outcome.</x:v>
      </x:c>
    </x:row>
    <x:row r="18" ht="15" hidden="0" customHeight="1">
      <x:c r="A18" s="58" t="str">
        <x:v>R000205</x:v>
      </x:c>
      <x:c r="B18" s="58" t="n">
        <x:v>1</x:v>
      </x:c>
      <x:c r="C18" s="58" t="str">
        <x:v>provisional_include</x:v>
      </x:c>
      <x:c r="D18" s="58" t="str">
        <x:v>Reelección presidencial y retroceso democrático en América Latina</x:v>
      </x:c>
      <x:c r="E18" s="58" t="str">
        <x:v>Torrico Terán, Mario Alejandro</x:v>
      </x:c>
      <x:c r="F18" s="58" t="n">
        <x:v>2024</x:v>
      </x:c>
      <x:c r="G18" s="58"/>
      <x:c r="H18" s="58" t="str">
        <x:v>core</x:v>
      </x:c>
      <x:c r="I18" s="58" t="str">
        <x:v>module_A_es</x:v>
      </x:c>
      <x:c r="J18" s="58"/>
      <x:c r="K18" s="58" t="str">
        <x:v>https://core.ac.uk/download/618593077.pdf</x:v>
      </x:c>
      <x:c r="L18" s="58" t="str">
        <x:v>https://core.ac.uk/download/618593077.pdf</x:v>
      </x:c>
      <x:c r="M18" s="58" t="str">
        <x:v>retrieved</x:v>
      </x:c>
      <x:c r="N18" s="58" t="str">
        <x:v>legal_open_web</x:v>
      </x:c>
      <x:c r="O18" s="58" t="str">
        <x:v>scielo_full_html</x:v>
      </x:c>
      <x:c r="P18" s="58" t="str">
        <x:v>passed</x:v>
      </x:c>
      <x:c r="Q18" s="58" t="str">
        <x:v>yes</x:v>
      </x:c>
      <x:c r="R18" s="58" t="str">
        <x:v>eligible</x:v>
      </x:c>
      <x:c r="S18" s="58" t="str">
        <x:v>included</x:v>
      </x:c>
      <x:c r="T18" s="58"/>
      <x:c r="U18" s="58" t="str">
        <x:v>MMAT_2018</x:v>
      </x:c>
      <x:c r="V18" s="58" t="str">
        <x:v>alta</x:v>
      </x:c>
      <x:c r="W18" s="58" t="str">
        <x:v>Discusión</x:v>
      </x:c>
      <x:c r="X18" s="58" t="str">
        <x:v>reelección y retroceso comparado</x:v>
      </x:c>
      <x:c r="Y18" s="58" t="str">
        <x:v>funcionamiento_gobierno</x:v>
      </x:c>
      <x:c r="Z18" s="58" t="str">
        <x:v>restrictivo</x:v>
      </x:c>
      <x:c r="AA18" s="58" t="str">
        <x:v>La concentración ejecutiva y la reelección pueden asociarse con retroceso democrático.</x:v>
      </x:c>
      <x:c r="AB18" s="58" t="str">
        <x:v>none; bibliographic evidence does not modify model parameters automatically</x:v>
      </x:c>
      <x:c r="AC18" s="58" t="str">
        <x:v>Support corpus for an original article; not a systematic-review outcome.</x:v>
      </x:c>
    </x:row>
    <x:row r="19" ht="15" hidden="0" customHeight="1">
      <x:c r="A19" s="57" t="str">
        <x:v>R000248</x:v>
      </x:c>
      <x:c r="B19" s="57" t="n">
        <x:v>1</x:v>
      </x:c>
      <x:c r="C19" s="57" t="str">
        <x:v>provisional_include</x:v>
      </x:c>
      <x:c r="D19" s="57" t="str">
        <x:v>Creating Composite Indicators with DEA and Robustness Analysis: the case of the Technology Achievement Index</x:v>
      </x:c>
      <x:c r="E19" s="57" t="str">
        <x:v>A. Saltelli; Wim Moesen; R. Liska; Tom Van Puyenbroeck; Michaela Saisana; Laurens Cherchye; Nicky Rogge; S. Tarantola</x:v>
      </x:c>
      <x:c r="F19" s="57" t="n">
        <x:v>2006</x:v>
      </x:c>
      <x:c r="G19" s="57"/>
      <x:c r="H19" s="57" t="str">
        <x:v>core</x:v>
      </x:c>
      <x:c r="I19" s="57" t="str">
        <x:v>module_C_en</x:v>
      </x:c>
      <x:c r="J19" s="57" t="str">
        <x:v>10.1057/palgrave.jors.2602445</x:v>
      </x:c>
      <x:c r="K19" s="57" t="str">
        <x:v>https://core.ac.uk/download/7087829.pdf</x:v>
      </x:c>
      <x:c r="L19" s="57" t="str">
        <x:v>https://core.ac.uk/download/7087829.pdf</x:v>
      </x:c>
      <x:c r="M19" s="57" t="str">
        <x:v>retrieved</x:v>
      </x:c>
      <x:c r="N19" s="57" t="str">
        <x:v>drive_open_access</x:v>
      </x:c>
      <x:c r="O19" s="57" t="str">
        <x:v>Google Drive OA folder; local extraction drive_23.txt</x:v>
      </x:c>
      <x:c r="P19" s="57" t="str">
        <x:v>passed</x:v>
      </x:c>
      <x:c r="Q19" s="57" t="str">
        <x:v>yes</x:v>
      </x:c>
      <x:c r="R19" s="57" t="str">
        <x:v>eligible</x:v>
      </x:c>
      <x:c r="S19" s="57" t="str">
        <x:v>included</x:v>
      </x:c>
      <x:c r="T19" s="57"/>
      <x:c r="U19" s="57" t="str">
        <x:v>METHOD_RELEVANCE</x:v>
      </x:c>
      <x:c r="V19" s="57" t="str">
        <x:v>alta</x:v>
      </x:c>
      <x:c r="W19" s="57" t="str">
        <x:v>Métodos y limitaciones</x:v>
      </x:c>
      <x:c r="X19" s="57" t="str">
        <x:v>robustez de indicadores compuestos</x:v>
      </x:c>
      <x:c r="Y19" s="57" t="str">
        <x:v>sensibilidad</x:v>
      </x:c>
      <x:c r="Z19" s="57" t="str">
        <x:v>transversal</x:v>
      </x:c>
      <x:c r="AA19" s="57" t="str">
        <x:v>Los indicadores compuestos requieren análisis de sensibilidad a reglas de agregación.</x:v>
      </x:c>
      <x:c r="AB19" s="57" t="str">
        <x:v>none; bibliographic evidence does not modify model parameters automatically</x:v>
      </x:c>
      <x:c r="AC19" s="57" t="str">
        <x:v>Support corpus for an original article; not a systematic-review outcome.</x:v>
      </x:c>
    </x:row>
    <x:row r="20" ht="15" hidden="0" customHeight="1">
      <x:c r="A20" s="58" t="str">
        <x:v>R000271</x:v>
      </x:c>
      <x:c r="B20" s="58" t="n">
        <x:v>1</x:v>
      </x:c>
      <x:c r="C20" s="58" t="str">
        <x:v>provisional_include</x:v>
      </x:c>
      <x:c r="D20" s="58" t="str">
        <x:v>Métodos de prospectiva estratégica y participación local en el análisis de estudios de futuro en áreas naturales protegidas</x:v>
      </x:c>
      <x:c r="E20" s="58" t="str">
        <x:v>de los Ángeles La Torre-Cuadros, M.; Fernando Díaz del Olmo; Alexis Nicolás Ibáñez Blancas; Ibáñez Blancas, Alexis Nicolás; Blancas, A.N.I.; María de los Ángeles La Torre-Cuadros; La Torre-Cuadros, María de los Ángeles; Díaz del Olmo, Fernando; del Olmo, F.D.</x:v>
      </x:c>
      <x:c r="F20" s="58" t="n">
        <x:v>2023</x:v>
      </x:c>
      <x:c r="G20" s="58" t="str">
        <x:v>{"title": null, "identifiers": []}</x:v>
      </x:c>
      <x:c r="H20" s="58" t="str">
        <x:v>core</x:v>
      </x:c>
      <x:c r="I20" s="58" t="str">
        <x:v>module_D_es</x:v>
      </x:c>
      <x:c r="J20" s="58" t="str">
        <x:v>10.3989/estgeogr.2023131.131</x:v>
      </x:c>
      <x:c r="K20" s="58" t="str">
        <x:v>https://core.ac.uk/download/573452480.pdf</x:v>
      </x:c>
      <x:c r="L20" s="58" t="str">
        <x:v>https://core.ac.uk/download/573452480.pdf</x:v>
      </x:c>
      <x:c r="M20" s="58" t="str">
        <x:v>retrieved</x:v>
      </x:c>
      <x:c r="N20" s="58" t="str">
        <x:v>legal_open_web</x:v>
      </x:c>
      <x:c r="O20" s="58" t="str">
        <x:v>CSIC_OA_pdf</x:v>
      </x:c>
      <x:c r="P20" s="58" t="str">
        <x:v>passed</x:v>
      </x:c>
      <x:c r="Q20" s="58" t="str">
        <x:v>yes</x:v>
      </x:c>
      <x:c r="R20" s="58" t="str">
        <x:v>eligible</x:v>
      </x:c>
      <x:c r="S20" s="58" t="str">
        <x:v>included</x:v>
      </x:c>
      <x:c r="T20" s="58"/>
      <x:c r="U20" s="58" t="str">
        <x:v>MMAT_2018</x:v>
      </x:c>
      <x:c r="V20" s="58" t="str">
        <x:v>alta</x:v>
      </x:c>
      <x:c r="W20" s="58" t="str">
        <x:v>Métodos</x:v>
      </x:c>
      <x:c r="X20" s="58" t="str">
        <x:v>diseño de escenarios</x:v>
      </x:c>
      <x:c r="Y20" s="58" t="str">
        <x:v>prospectiva</x:v>
      </x:c>
      <x:c r="Z20" s="58" t="str">
        <x:v>transversal</x:v>
      </x:c>
      <x:c r="AA20" s="58" t="str">
        <x:v>La prospectiva estratégica permite organizar escenarios exploratorios sin atribuirles probabilidad.</x:v>
      </x:c>
      <x:c r="AB20" s="58" t="str">
        <x:v>none; bibliographic evidence does not modify model parameters automatically</x:v>
      </x:c>
      <x:c r="AC20" s="58" t="str">
        <x:v>Support corpus for an original article; not a systematic-review outcome.</x:v>
      </x:c>
    </x:row>
    <x:row r="21" ht="15" hidden="0" customHeight="1">
      <x:c r="A21" s="57" t="str">
        <x:v>R000361</x:v>
      </x:c>
      <x:c r="B21" s="57" t="n">
        <x:v>1</x:v>
      </x:c>
      <x:c r="C21" s="57" t="str">
        <x:v>provisional_include</x:v>
      </x:c>
      <x:c r="D21" s="57" t="str">
        <x:v>Supermajority rules in constitutional courts and democratic backsliding: a comparative analysis</x:v>
      </x:c>
      <x:c r="E21" s="57" t="str">
        <x:v>Rivera León M.A.</x:v>
      </x:c>
      <x:c r="F21" s="57" t="n">
        <x:v>2026</x:v>
      </x:c>
      <x:c r="G21" s="57" t="str">
        <x:v>International Journal of Human Rights</x:v>
      </x:c>
      <x:c r="H21" s="57" t="str">
        <x:v>scopus</x:v>
      </x:c>
      <x:c r="I21" s="57" t="str">
        <x:v>module_A_en</x:v>
      </x:c>
      <x:c r="J21" s="57" t="str">
        <x:v>10.1080/13642987.2026.2711681</x:v>
      </x:c>
      <x:c r="K21" s="57" t="str">
        <x:v>https://api.elsevier.com/content/abstract/scopus_id/105046706794</x:v>
      </x:c>
      <x:c r="L21" s="57" t="str">
        <x:v>https://www.tandfonline.com/doi/pdf/10.1080/13642987.2026.2711681?needAccess=true</x:v>
      </x:c>
      <x:c r="M21" s="57" t="str">
        <x:v>retrieved</x:v>
      </x:c>
      <x:c r="N21" s="57" t="str">
        <x:v>drive_open_access</x:v>
      </x:c>
      <x:c r="O21" s="57" t="str">
        <x:v>Google Drive OA folder; local extraction drive_05.txt</x:v>
      </x:c>
      <x:c r="P21" s="57" t="str">
        <x:v>passed</x:v>
      </x:c>
      <x:c r="Q21" s="57" t="str">
        <x:v>yes</x:v>
      </x:c>
      <x:c r="R21" s="57" t="str">
        <x:v>eligible</x:v>
      </x:c>
      <x:c r="S21" s="57" t="str">
        <x:v>included</x:v>
      </x:c>
      <x:c r="T21" s="57"/>
      <x:c r="U21" s="57" t="str">
        <x:v>MMAT_2018</x:v>
      </x:c>
      <x:c r="V21" s="57" t="str">
        <x:v>alta</x:v>
      </x:c>
      <x:c r="W21" s="57" t="str">
        <x:v>Discusión</x:v>
      </x:c>
      <x:c r="X21" s="57" t="str">
        <x:v>tribunales y retroceso</x:v>
      </x:c>
      <x:c r="Y21" s="57" t="str">
        <x:v>funcionamiento_gobierno</x:v>
      </x:c>
      <x:c r="Z21" s="57" t="str">
        <x:v>restrictivo</x:v>
      </x:c>
      <x:c r="AA21" s="57" t="str">
        <x:v>Los cambios en supermayorías y controles judiciales pueden facilitar retrocesos institucionales.</x:v>
      </x:c>
      <x:c r="AB21" s="57" t="str">
        <x:v>none; bibliographic evidence does not modify model parameters automatically</x:v>
      </x:c>
      <x:c r="AC21" s="57" t="str">
        <x:v>Support corpus for an original article; not a systematic-review outcome.</x:v>
      </x:c>
    </x:row>
    <x:row r="22" ht="15" hidden="0" customHeight="1">
      <x:c r="A22" s="58" t="str">
        <x:v>R000543</x:v>
      </x:c>
      <x:c r="B22" s="58" t="n">
        <x:v>1</x:v>
      </x:c>
      <x:c r="C22" s="58" t="str">
        <x:v>provisional_include</x:v>
      </x:c>
      <x:c r="D22" s="58" t="str">
        <x:v>Mi comprensión de la democracia: un resumen</x:v>
      </x:c>
      <x:c r="E22" s="58" t="str">
        <x:v>Przeworski A.</x:v>
      </x:c>
      <x:c r="F22" s="58" t="n">
        <x:v>2026</x:v>
      </x:c>
      <x:c r="G22" s="58" t="str">
        <x:v>Estudios Sociologicos</x:v>
      </x:c>
      <x:c r="H22" s="58" t="str">
        <x:v>scopus</x:v>
      </x:c>
      <x:c r="I22" s="58" t="str">
        <x:v>module_D_es</x:v>
      </x:c>
      <x:c r="J22" s="58" t="str">
        <x:v>10.24201/es.2026v44.e3079</x:v>
      </x:c>
      <x:c r="K22" s="58" t="str">
        <x:v>https://api.elsevier.com/content/abstract/scopus_id/105044014210</x:v>
      </x:c>
      <x:c r="L22" s="58" t="str">
        <x:v>https://estudiossociologicos.colmex.mx/index.php/es/article/download/3079/3076</x:v>
      </x:c>
      <x:c r="M22" s="58" t="str">
        <x:v>retrieved</x:v>
      </x:c>
      <x:c r="N22" s="58" t="str">
        <x:v>drive_open_access</x:v>
      </x:c>
      <x:c r="O22" s="58" t="str">
        <x:v>Google Drive OA folder; local extraction drive_13.txt</x:v>
      </x:c>
      <x:c r="P22" s="58" t="str">
        <x:v>passed</x:v>
      </x:c>
      <x:c r="Q22" s="58" t="str">
        <x:v>yes</x:v>
      </x:c>
      <x:c r="R22" s="58" t="str">
        <x:v>eligible</x:v>
      </x:c>
      <x:c r="S22" s="58" t="str">
        <x:v>included</x:v>
      </x:c>
      <x:c r="T22" s="58"/>
      <x:c r="U22" s="58" t="str">
        <x:v>AACODS</x:v>
      </x:c>
      <x:c r="V22" s="58" t="str">
        <x:v>alta</x:v>
      </x:c>
      <x:c r="W22" s="58" t="str">
        <x:v>Introducción</x:v>
      </x:c>
      <x:c r="X22" s="58" t="str">
        <x:v>definición de democracia</x:v>
      </x:c>
      <x:c r="Y22" s="58" t="str">
        <x:v>conceptual</x:v>
      </x:c>
      <x:c r="Z22" s="58" t="str">
        <x:v>transversal</x:v>
      </x:c>
      <x:c r="AA22" s="58" t="str">
        <x:v>La democracia se delimita como competencia, participación y restricciones al poder.</x:v>
      </x:c>
      <x:c r="AB22" s="58" t="str">
        <x:v>none; bibliographic evidence does not modify model parameters automatically</x:v>
      </x:c>
      <x:c r="AC22" s="58" t="str">
        <x:v>Support corpus for an original article; not a systematic-review outcome.</x:v>
      </x:c>
    </x:row>
    <x:row r="23" ht="15" hidden="0" customHeight="1">
      <x:c r="A23" s="57" t="str">
        <x:v>R000645</x:v>
      </x:c>
      <x:c r="B23" s="57" t="n">
        <x:v>1</x:v>
      </x:c>
      <x:c r="C23" s="57" t="str">
        <x:v>provisional_include</x:v>
      </x:c>
      <x:c r="D23" s="57" t="str">
        <x:v>Profissionais da justiça e da segurança pública, conservadorismo e erosão democrática</x:v>
      </x:c>
      <x:c r="E23" s="57" t="str">
        <x:v>Maria da Gloria Bonelli</x:v>
      </x:c>
      <x:c r="F23" s="57" t="n">
        <x:v>2026</x:v>
      </x:c>
      <x:c r="G23" s="57"/>
      <x:c r="H23" s="57" t="str">
        <x:v>scielo</x:v>
      </x:c>
      <x:c r="I23" s="57" t="str">
        <x:v>module_A_pt</x:v>
      </x:c>
      <x:c r="J23" s="57" t="str">
        <x:v>10.1590/scielopreprints.17594</x:v>
      </x:c>
      <x:c r="K23" s="57" t="str">
        <x:v>https://doi.org/10.1590/scielopreprints.17594</x:v>
      </x:c>
      <x:c r="L23" s="57" t="str">
        <x:v>https://doi.org/10.1590/scielopreprints.17594</x:v>
      </x:c>
      <x:c r="M23" s="57" t="str">
        <x:v>retrieved</x:v>
      </x:c>
      <x:c r="N23" s="57" t="str">
        <x:v>drive_open_access</x:v>
      </x:c>
      <x:c r="O23" s="57" t="str">
        <x:v>Google Drive OA folder; local extraction drive_09.txt</x:v>
      </x:c>
      <x:c r="P23" s="57" t="str">
        <x:v>passed</x:v>
      </x:c>
      <x:c r="Q23" s="57" t="str">
        <x:v>yes</x:v>
      </x:c>
      <x:c r="R23" s="57" t="str">
        <x:v>eligible</x:v>
      </x:c>
      <x:c r="S23" s="57" t="str">
        <x:v>included</x:v>
      </x:c>
      <x:c r="T23" s="57"/>
      <x:c r="U23" s="57" t="str">
        <x:v>MMAT_2018</x:v>
      </x:c>
      <x:c r="V23" s="57" t="str">
        <x:v>alta</x:v>
      </x:c>
      <x:c r="W23" s="57" t="str">
        <x:v>Discusión</x:v>
      </x:c>
      <x:c r="X23" s="57" t="str">
        <x:v>justicia, seguridad y erosión</x:v>
      </x:c>
      <x:c r="Y23" s="57" t="str">
        <x:v>funcionamiento_gobierno</x:v>
      </x:c>
      <x:c r="Z23" s="57" t="str">
        <x:v>restrictivo</x:v>
      </x:c>
      <x:c r="AA23" s="57" t="str">
        <x:v>La actuación de élites jurídicas y de seguridad es relevante para los contrapesos democráticos.</x:v>
      </x:c>
      <x:c r="AB23" s="57" t="str">
        <x:v>none; bibliographic evidence does not modify model parameters automatically</x:v>
      </x:c>
      <x:c r="AC23" s="57" t="str">
        <x:v>Support corpus for an original article; not a systematic-review outcome.</x:v>
      </x:c>
    </x:row>
    <x:row r="24" ht="15" hidden="0" customHeight="1">
      <x:c r="A24" s="58" t="str">
        <x:v>R000059</x:v>
      </x:c>
      <x:c r="B24" s="58" t="n">
        <x:v>2</x:v>
      </x:c>
      <x:c r="C24" s="58" t="str">
        <x:v>uncertain</x:v>
      </x:c>
      <x:c r="D24" s="58" t="str">
        <x:v>La calidad de la democracia en el Perú y en América Latina</x:v>
      </x:c>
      <x:c r="E24" s="58" t="str">
        <x:v>Martín Tanaka; Catalina Romero; Alberto Adrianzén; Steven Levitsky</x:v>
      </x:c>
      <x:c r="F24" s="58" t="n">
        <x:v>2011</x:v>
      </x:c>
      <x:c r="G24" s="58" t="str">
        <x:v>La democracia y sus instituciones en debate</x:v>
      </x:c>
      <x:c r="H24" s="58" t="str">
        <x:v>crossref</x:v>
      </x:c>
      <x:c r="I24" s="58" t="str">
        <x:v>module_A_es</x:v>
      </x:c>
      <x:c r="J24" s="58" t="str">
        <x:v>10.18800/9789972429774.009</x:v>
      </x:c>
      <x:c r="K24" s="58" t="str">
        <x:v>https://doi.org/10.18800/9789972429774.009</x:v>
      </x:c>
      <x:c r="L24" s="58" t="str">
        <x:v>https://repositorio.pucp.edu.pe/bitstreams/180f762d-e0db-4d84-b5e2-bfe3be29002d/download</x:v>
      </x:c>
      <x:c r="M24" s="58" t="str">
        <x:v>retrieved</x:v>
      </x:c>
      <x:c r="N24" s="58" t="str">
        <x:v>legal_open_web</x:v>
      </x:c>
      <x:c r="O24" s="58" t="str">
        <x:v>PUCP_repository_fulltext</x:v>
      </x:c>
      <x:c r="P24" s="58" t="str">
        <x:v>passed</x:v>
      </x:c>
      <x:c r="Q24" s="58" t="str">
        <x:v>yes</x:v>
      </x:c>
      <x:c r="R24" s="58" t="str">
        <x:v>eligible</x:v>
      </x:c>
      <x:c r="S24" s="58" t="str">
        <x:v>included</x:v>
      </x:c>
      <x:c r="T24" s="58"/>
      <x:c r="U24" s="58" t="str">
        <x:v>AACODS</x:v>
      </x:c>
      <x:c r="V24" s="58" t="str">
        <x:v>alta</x:v>
      </x:c>
      <x:c r="W24" s="58" t="str">
        <x:v>Introducción y discusión</x:v>
      </x:c>
      <x:c r="X24" s="58" t="str">
        <x:v>trayectoria peruana de calidad democrática</x:v>
      </x:c>
      <x:c r="Y24" s="58" t="str">
        <x:v>medición_multidimensional</x:v>
      </x:c>
      <x:c r="Z24" s="58" t="str">
        <x:v>transversal</x:v>
      </x:c>
      <x:c r="AA24" s="58" t="str">
        <x:v>La calidad democrática peruana debe leerse dentro de su trayectoria institucional y regional.</x:v>
      </x:c>
      <x:c r="AB24" s="58" t="str">
        <x:v>none; bibliographic evidence does not modify model parameters automatically</x:v>
      </x:c>
      <x:c r="AC24" s="58" t="str">
        <x:v>Support corpus for an original article; not a systematic-review outcome.</x:v>
      </x:c>
    </x:row>
    <x:row r="25" ht="15" hidden="0" customHeight="1">
      <x:c r="A25" s="57" t="str">
        <x:v>R000065</x:v>
      </x:c>
      <x:c r="B25" s="57" t="n">
        <x:v>2</x:v>
      </x:c>
      <x:c r="C25" s="57" t="str">
        <x:v>uncertain</x:v>
      </x:c>
      <x:c r="D25" s="57" t="str">
        <x:v>Luces y sombras de la calidad de la democracia en América Latina</x:v>
      </x:c>
      <x:c r="E25" s="57" t="str">
        <x:v>Manuel Alcántara Saéz</x:v>
      </x:c>
      <x:c r="F25" s="57" t="n">
        <x:v>2007</x:v>
      </x:c>
      <x:c r="G25" s="57" t="str">
        <x:v>Revista Oficial del Poder Judicial. Órgano de Investigación de la Corte Suprema de Justicia de la República del Perú</x:v>
      </x:c>
      <x:c r="H25" s="57" t="str">
        <x:v>crossref</x:v>
      </x:c>
      <x:c r="I25" s="57" t="str">
        <x:v>module_A_es</x:v>
      </x:c>
      <x:c r="J25" s="57" t="str">
        <x:v>10.35292/ropj.v2i2.154</x:v>
      </x:c>
      <x:c r="K25" s="57" t="str">
        <x:v>https://doi.org/10.35292/ropj.v2i2.154</x:v>
      </x:c>
      <x:c r="L25" s="57" t="str">
        <x:v>https://doi.org/10.35292/ropj.v2i2.154</x:v>
      </x:c>
      <x:c r="M25" s="57" t="str">
        <x:v>retrieved</x:v>
      </x:c>
      <x:c r="N25" s="57" t="str">
        <x:v>legal_open_web</x:v>
      </x:c>
      <x:c r="O25" s="57" t="str">
        <x:v>OA_pdf</x:v>
      </x:c>
      <x:c r="P25" s="57" t="str">
        <x:v>passed</x:v>
      </x:c>
      <x:c r="Q25" s="57" t="str">
        <x:v>yes</x:v>
      </x:c>
      <x:c r="R25" s="57" t="str">
        <x:v>eligible</x:v>
      </x:c>
      <x:c r="S25" s="57" t="str">
        <x:v>included</x:v>
      </x:c>
      <x:c r="T25" s="57"/>
      <x:c r="U25" s="57" t="str">
        <x:v>METHOD_RELEVANCE</x:v>
      </x:c>
      <x:c r="V25" s="57" t="str">
        <x:v>alta</x:v>
      </x:c>
      <x:c r="W25" s="57" t="str">
        <x:v>Métodos y limitaciones</x:v>
      </x:c>
      <x:c r="X25" s="57" t="str">
        <x:v>comparación de índices</x:v>
      </x:c>
      <x:c r="Y25" s="57" t="str">
        <x:v>medición_multidimensional</x:v>
      </x:c>
      <x:c r="Z25" s="57" t="str">
        <x:v>transversal</x:v>
      </x:c>
      <x:c r="AA25" s="57" t="str">
        <x:v>Los índices de democracia difieren en concepto, fuentes y agregación.</x:v>
      </x:c>
      <x:c r="AB25" s="57" t="str">
        <x:v>none; bibliographic evidence does not modify model parameters automatically</x:v>
      </x:c>
      <x:c r="AC25" s="57" t="str">
        <x:v>Support corpus for an original article; not a systematic-review outcome.</x:v>
      </x:c>
    </x:row>
    <x:row r="26" ht="15" hidden="0" customHeight="1">
      <x:c r="A26" s="58" t="str">
        <x:v>R000071</x:v>
      </x:c>
      <x:c r="B26" s="58" t="n">
        <x:v>2</x:v>
      </x:c>
      <x:c r="C26" s="58" t="str">
        <x:v>uncertain</x:v>
      </x:c>
      <x:c r="D26" s="58" t="str">
        <x:v>DESCONSOLIDAÇÃO DEMOCRÁTICA NA AMÉRICA LATINA</x:v>
      </x:c>
      <x:c r="E26" s="58" t="str">
        <x:v>Fidel Terenciano</x:v>
      </x:c>
      <x:c r="F26" s="58" t="n">
        <x:v>2018</x:v>
      </x:c>
      <x:c r="G26" s="58" t="str">
        <x:v>Democracia na América Latina</x:v>
      </x:c>
      <x:c r="H26" s="58" t="str">
        <x:v>crossref</x:v>
      </x:c>
      <x:c r="I26" s="58" t="str">
        <x:v>module_A_pt</x:v>
      </x:c>
      <x:c r="J26" s="58" t="str">
        <x:v>10.2307/j.ctvn96fr4.11</x:v>
      </x:c>
      <x:c r="K26" s="58" t="str">
        <x:v>https://doi.org/10.2307/j.ctvn96fr4.11</x:v>
      </x:c>
      <x:c r="L26" s="58" t="str">
        <x:v>https://doi.org/10.2307/j.ctvn96fr4.11</x:v>
      </x:c>
      <x:c r="M26" s="58" t="str">
        <x:v>retrieved</x:v>
      </x:c>
      <x:c r="N26" s="58" t="str">
        <x:v>legal_open_web</x:v>
      </x:c>
      <x:c r="O26" s="58" t="str">
        <x:v>JSTOR_OA_XML</x:v>
      </x:c>
      <x:c r="P26" s="58" t="str">
        <x:v>passed</x:v>
      </x:c>
      <x:c r="Q26" s="58" t="str">
        <x:v>yes</x:v>
      </x:c>
      <x:c r="R26" s="58" t="str">
        <x:v>eligible</x:v>
      </x:c>
      <x:c r="S26" s="58" t="str">
        <x:v>included</x:v>
      </x:c>
      <x:c r="T26" s="58"/>
      <x:c r="U26" s="58" t="str">
        <x:v>AACODS</x:v>
      </x:c>
      <x:c r="V26" s="58" t="str">
        <x:v>alta</x:v>
      </x:c>
      <x:c r="W26" s="58" t="str">
        <x:v>Introducción y discusión</x:v>
      </x:c>
      <x:c r="X26" s="58" t="str">
        <x:v>desconsolidación latinoamericana</x:v>
      </x:c>
      <x:c r="Y26" s="58" t="str">
        <x:v>contexto_regional</x:v>
      </x:c>
      <x:c r="Z26" s="58" t="str">
        <x:v>restrictivo</x:v>
      </x:c>
      <x:c r="AA26" s="58" t="str">
        <x:v>La desconsolidación democrática latinoamericana ofrece el marco regional del caso peruano.</x:v>
      </x:c>
      <x:c r="AB26" s="58" t="str">
        <x:v>none; bibliographic evidence does not modify model parameters automatically</x:v>
      </x:c>
      <x:c r="AC26" s="58" t="str">
        <x:v>Support corpus for an original article; not a systematic-review outcome.</x:v>
      </x:c>
    </x:row>
    <x:row r="27" ht="15" hidden="0" customHeight="1">
      <x:c r="A27" s="57" t="str">
        <x:v>R000072</x:v>
      </x:c>
      <x:c r="B27" s="57" t="n">
        <x:v>2</x:v>
      </x:c>
      <x:c r="C27" s="57" t="str">
        <x:v>uncertain</x:v>
      </x:c>
      <x:c r="D27" s="57" t="str">
        <x:v>Democracia, desigualdades e corrupção: uma análise da qualidade democrática na América latina.</x:v>
      </x:c>
      <x:c r="E27" s="57" t="str">
        <x:v>Maria Salete Souza de Amorim</x:v>
      </x:c>
      <x:c r="F27" s="57" t="n">
        <x:v>2015</x:v>
      </x:c>
      <x:c r="G27" s="57" t="str">
        <x:v>Século XXI – Revista de Ciências Sociais</x:v>
      </x:c>
      <x:c r="H27" s="57" t="str">
        <x:v>crossref</x:v>
      </x:c>
      <x:c r="I27" s="57" t="str">
        <x:v>module_A_pt</x:v>
      </x:c>
      <x:c r="J27" s="57" t="str">
        <x:v>10.5902/2236672521590</x:v>
      </x:c>
      <x:c r="K27" s="57" t="str">
        <x:v>https://doi.org/10.5902/2236672521590</x:v>
      </x:c>
      <x:c r="L27" s="57" t="str">
        <x:v>https://periodicos.ufsm.br/seculoxxi/article/download/21590/13113</x:v>
      </x:c>
      <x:c r="M27" s="57" t="str">
        <x:v>retrieved</x:v>
      </x:c>
      <x:c r="N27" s="57" t="str">
        <x:v>legal_open_web</x:v>
      </x:c>
      <x:c r="O27" s="57" t="str">
        <x:v>OA_pdf</x:v>
      </x:c>
      <x:c r="P27" s="57" t="str">
        <x:v>passed</x:v>
      </x:c>
      <x:c r="Q27" s="57" t="str">
        <x:v>yes</x:v>
      </x:c>
      <x:c r="R27" s="57" t="str">
        <x:v>eligible</x:v>
      </x:c>
      <x:c r="S27" s="57" t="str">
        <x:v>included</x:v>
      </x:c>
      <x:c r="T27" s="57"/>
      <x:c r="U27" s="57" t="str">
        <x:v>MMAT_2018</x:v>
      </x:c>
      <x:c r="V27" s="57" t="str">
        <x:v>moderada</x:v>
      </x:c>
      <x:c r="W27" s="57" t="str">
        <x:v>Discusión</x:v>
      </x:c>
      <x:c r="X27" s="57" t="str">
        <x:v>desigualdad y corrupción</x:v>
      </x:c>
      <x:c r="Y27" s="57" t="str">
        <x:v>funcionamiento_gobierno</x:v>
      </x:c>
      <x:c r="Z27" s="57" t="str">
        <x:v>continuidad</x:v>
      </x:c>
      <x:c r="AA27" s="57" t="str">
        <x:v>Desigualdad y corrupción condicionan desempeño institucional y apoyo democrático.</x:v>
      </x:c>
      <x:c r="AB27" s="57" t="str">
        <x:v>none; bibliographic evidence does not modify model parameters automatically</x:v>
      </x:c>
      <x:c r="AC27" s="57" t="str">
        <x:v>Support corpus for an original article; not a systematic-review outcome.</x:v>
      </x:c>
    </x:row>
    <x:row r="28" ht="15" hidden="0" customHeight="1">
      <x:c r="A28" s="58" t="str">
        <x:v>R000074</x:v>
      </x:c>
      <x:c r="B28" s="58" t="n">
        <x:v>2</x:v>
      </x:c>
      <x:c r="C28" s="58" t="str">
        <x:v>uncertain</x:v>
      </x:c>
      <x:c r="D28" s="58" t="str">
        <x:v>La controvertida democracia representativa</x:v>
      </x:c>
      <x:c r="E28" s="58" t="str">
        <x:v>Hugo Quiroga</x:v>
      </x:c>
      <x:c r="F28" s="58" t="n">
        <x:v>2019</x:v>
      </x:c>
      <x:c r="G28" s="58" t="str">
        <x:v>Elecciones y legitimidad democrática en América Latina</x:v>
      </x:c>
      <x:c r="H28" s="58" t="str">
        <x:v>crossref</x:v>
      </x:c>
      <x:c r="I28" s="58" t="str">
        <x:v>module_A_pt</x:v>
      </x:c>
      <x:c r="J28" s="58" t="str">
        <x:v>10.2307/j.ctvt6rkct.17</x:v>
      </x:c>
      <x:c r="K28" s="58" t="str">
        <x:v>https://doi.org/10.2307/j.ctvt6rkct.17</x:v>
      </x:c>
      <x:c r="L28" s="58" t="str">
        <x:v>https://doi.org/10.2307/j.ctvt6rkct.17</x:v>
      </x:c>
      <x:c r="M28" s="58" t="str">
        <x:v>retrieved</x:v>
      </x:c>
      <x:c r="N28" s="58" t="str">
        <x:v>legal_open_web</x:v>
      </x:c>
      <x:c r="O28" s="58" t="str">
        <x:v>OA_book_pdf</x:v>
      </x:c>
      <x:c r="P28" s="58" t="str">
        <x:v>passed</x:v>
      </x:c>
      <x:c r="Q28" s="58" t="str">
        <x:v>yes</x:v>
      </x:c>
      <x:c r="R28" s="58" t="str">
        <x:v>eligible</x:v>
      </x:c>
      <x:c r="S28" s="58" t="str">
        <x:v>included</x:v>
      </x:c>
      <x:c r="T28" s="58"/>
      <x:c r="U28" s="58" t="str">
        <x:v>AACODS</x:v>
      </x:c>
      <x:c r="V28" s="58" t="str">
        <x:v>alta</x:v>
      </x:c>
      <x:c r="W28" s="58" t="str">
        <x:v>Introducción</x:v>
      </x:c>
      <x:c r="X28" s="58" t="str">
        <x:v>democracia representativa</x:v>
      </x:c>
      <x:c r="Y28" s="58" t="str">
        <x:v>conceptual</x:v>
      </x:c>
      <x:c r="Z28" s="58" t="str">
        <x:v>transversal</x:v>
      </x:c>
      <x:c r="AA28" s="58" t="str">
        <x:v>La democracia representativa combina autorización electoral, control y rendición de cuentas.</x:v>
      </x:c>
      <x:c r="AB28" s="58" t="str">
        <x:v>none; bibliographic evidence does not modify model parameters automatically</x:v>
      </x:c>
      <x:c r="AC28" s="58" t="str">
        <x:v>Support corpus for an original article; not a systematic-review outcome.</x:v>
      </x:c>
    </x:row>
    <x:row r="29" ht="15" hidden="0" customHeight="1">
      <x:c r="A29" s="57" t="str">
        <x:v>R000097</x:v>
      </x:c>
      <x:c r="B29" s="57" t="n">
        <x:v>2</x:v>
      </x:c>
      <x:c r="C29" s="57" t="str">
        <x:v>uncertain</x:v>
      </x:c>
      <x:c r="D29" s="57" t="str">
        <x:v>Representatividad, participación y política: nuevo foco para el viejo debate sobre la función pública en América Latina</x:v>
      </x:c>
      <x:c r="E29" s="57" t="str">
        <x:v>Mercedes Iacovello</x:v>
      </x:c>
      <x:c r="F29" s="57" t="n">
        <x:v>2012</x:v>
      </x:c>
      <x:c r="G29" s="57" t="str">
        <x:v>Revista Buen Gobierno</x:v>
      </x:c>
      <x:c r="H29" s="57" t="str">
        <x:v>crossref</x:v>
      </x:c>
      <x:c r="I29" s="57" t="str">
        <x:v>module_B_es</x:v>
      </x:c>
      <x:c r="J29" s="57" t="str">
        <x:v>10.35247/buengob_12_05</x:v>
      </x:c>
      <x:c r="K29" s="57" t="str">
        <x:v>https://doi.org/10.35247/buengob_12_05</x:v>
      </x:c>
      <x:c r="L29" s="57" t="str">
        <x:v>https://doi.org/10.35247/buengob_12_05</x:v>
      </x:c>
      <x:c r="M29" s="57" t="str">
        <x:v>retrieved</x:v>
      </x:c>
      <x:c r="N29" s="57" t="str">
        <x:v>legal_open_web</x:v>
      </x:c>
      <x:c r="O29" s="57" t="str">
        <x:v>OA_pdf</x:v>
      </x:c>
      <x:c r="P29" s="57" t="str">
        <x:v>passed</x:v>
      </x:c>
      <x:c r="Q29" s="57" t="str">
        <x:v>yes</x:v>
      </x:c>
      <x:c r="R29" s="57" t="str">
        <x:v>eligible</x:v>
      </x:c>
      <x:c r="S29" s="57" t="str">
        <x:v>included</x:v>
      </x:c>
      <x:c r="T29" s="57"/>
      <x:c r="U29" s="57" t="str">
        <x:v>MMAT_2018</x:v>
      </x:c>
      <x:c r="V29" s="57" t="str">
        <x:v>moderada</x:v>
      </x:c>
      <x:c r="W29" s="57" t="str">
        <x:v>Discusión</x:v>
      </x:c>
      <x:c r="X29" s="57" t="str">
        <x:v>función pública y representación</x:v>
      </x:c>
      <x:c r="Y29" s="57" t="str">
        <x:v>funcionamiento_gobierno</x:v>
      </x:c>
      <x:c r="Z29" s="57" t="str">
        <x:v>recuperacion</x:v>
      </x:c>
      <x:c r="AA29" s="57" t="str">
        <x:v>La capacidad administrativa y la representación deben diferenciarse analíticamente.</x:v>
      </x:c>
      <x:c r="AB29" s="57" t="str">
        <x:v>none; bibliographic evidence does not modify model parameters automatically</x:v>
      </x:c>
      <x:c r="AC29" s="57" t="str">
        <x:v>Support corpus for an original article; not a systematic-review outcome.</x:v>
      </x:c>
    </x:row>
    <x:row r="30" ht="15" hidden="0" customHeight="1">
      <x:c r="A30" s="58" t="str">
        <x:v>R000103</x:v>
      </x:c>
      <x:c r="B30" s="58" t="n">
        <x:v>2</x:v>
      </x:c>
      <x:c r="C30" s="58" t="str">
        <x:v>uncertain</x:v>
      </x:c>
      <x:c r="D30" s="58" t="str">
        <x:v>Notas introductorias sobre el populismo y la cultura política en el área andina de América Latina</x:v>
      </x:c>
      <x:c r="E30" s="58" t="str">
        <x:v>H.C.F. Mansilla</x:v>
      </x:c>
      <x:c r="F30" s="58" t="n">
        <x:v>2009</x:v>
      </x:c>
      <x:c r="G30" s="58" t="str">
        <x:v>Ciências Sociais Unisinos</x:v>
      </x:c>
      <x:c r="H30" s="58" t="str">
        <x:v>crossref</x:v>
      </x:c>
      <x:c r="I30" s="58" t="str">
        <x:v>module_B_pt</x:v>
      </x:c>
      <x:c r="J30" s="58" t="str">
        <x:v>10.4013/csu.2009.45.2.02</x:v>
      </x:c>
      <x:c r="K30" s="58" t="str">
        <x:v>https://doi.org/10.4013/csu.2009.45.2.02</x:v>
      </x:c>
      <x:c r="L30" s="58" t="str">
        <x:v>https://revistas.unisinos.br/index.php/ciencias_sociais/article/download/4890/2145/15814</x:v>
      </x:c>
      <x:c r="M30" s="58" t="str">
        <x:v>retrieved</x:v>
      </x:c>
      <x:c r="N30" s="58" t="str">
        <x:v>legal_open_web</x:v>
      </x:c>
      <x:c r="O30" s="58" t="str">
        <x:v>OA_pdf</x:v>
      </x:c>
      <x:c r="P30" s="58" t="str">
        <x:v>passed</x:v>
      </x:c>
      <x:c r="Q30" s="58" t="str">
        <x:v>yes</x:v>
      </x:c>
      <x:c r="R30" s="58" t="str">
        <x:v>eligible</x:v>
      </x:c>
      <x:c r="S30" s="58" t="str">
        <x:v>included</x:v>
      </x:c>
      <x:c r="T30" s="58"/>
      <x:c r="U30" s="58" t="str">
        <x:v>MMAT_2018</x:v>
      </x:c>
      <x:c r="V30" s="58" t="str">
        <x:v>moderada</x:v>
      </x:c>
      <x:c r="W30" s="58" t="str">
        <x:v>Introducción y discusión</x:v>
      </x:c>
      <x:c r="X30" s="58" t="str">
        <x:v>populismo y cultura política andina</x:v>
      </x:c>
      <x:c r="Y30" s="58" t="str">
        <x:v>cultura_politica</x:v>
      </x:c>
      <x:c r="Z30" s="58" t="str">
        <x:v>restrictivo</x:v>
      </x:c>
      <x:c r="AA30" s="58" t="str">
        <x:v>La cultura política andina aporta contexto a la relación entre populismo y democracia.</x:v>
      </x:c>
      <x:c r="AB30" s="58" t="str">
        <x:v>none; bibliographic evidence does not modify model parameters automatically</x:v>
      </x:c>
      <x:c r="AC30" s="58" t="str">
        <x:v>Support corpus for an original article; not a systematic-review outcome.</x:v>
      </x:c>
    </x:row>
    <x:row r="31" ht="15" hidden="0" customHeight="1">
      <x:c r="A31" s="57" t="str">
        <x:v>R000108</x:v>
      </x:c>
      <x:c r="B31" s="57" t="n">
        <x:v>2</x:v>
      </x:c>
      <x:c r="C31" s="57" t="str">
        <x:v>uncertain</x:v>
      </x:c>
      <x:c r="D31" s="57" t="str">
        <x:v>An Internal Validation Assessment of Scale Across Social Vulnerability Index Model Structures (Uncertainty and Global Sensitivity Analysis)</x:v>
      </x:c>
      <x:c r="E31" s="57" t="str">
        <x:v>Selena Hinojos; Caitlin Grady</x:v>
      </x:c>
      <x:c r="F31" s="57" t="n">
        <x:v>2025</x:v>
      </x:c>
      <x:c r="G31" s="57" t="str">
        <x:v>HydroShare Resources</x:v>
      </x:c>
      <x:c r="H31" s="57" t="str">
        <x:v>crossref</x:v>
      </x:c>
      <x:c r="I31" s="57" t="str">
        <x:v>module_C_en</x:v>
      </x:c>
      <x:c r="J31" s="57" t="str">
        <x:v>10.4211/hs.719a8d719907435dade9102aa9a0fa8d</x:v>
      </x:c>
      <x:c r="K31" s="57" t="str">
        <x:v>https://doi.org/10.4211/hs.719a8d719907435dade9102aa9a0fa8d</x:v>
      </x:c>
      <x:c r="L31" s="57" t="str">
        <x:v>https://doi.org/10.4211/hs.719a8d719907435dade9102aa9a0fa8d</x:v>
      </x:c>
      <x:c r="M31" s="57" t="str">
        <x:v>retrieved</x:v>
      </x:c>
      <x:c r="N31" s="57" t="str">
        <x:v>legal_open_web</x:v>
      </x:c>
      <x:c r="O31" s="57" t="str">
        <x:v>HydroShare_SSRN_fulltext</x:v>
      </x:c>
      <x:c r="P31" s="57" t="str">
        <x:v>passed</x:v>
      </x:c>
      <x:c r="Q31" s="57" t="str">
        <x:v>yes</x:v>
      </x:c>
      <x:c r="R31" s="57" t="str">
        <x:v>eligible</x:v>
      </x:c>
      <x:c r="S31" s="57" t="str">
        <x:v>included</x:v>
      </x:c>
      <x:c r="T31" s="57"/>
      <x:c r="U31" s="57" t="str">
        <x:v>METHOD_RELEVANCE</x:v>
      </x:c>
      <x:c r="V31" s="57" t="str">
        <x:v>alta</x:v>
      </x:c>
      <x:c r="W31" s="57" t="str">
        <x:v>Métodos y limitaciones</x:v>
      </x:c>
      <x:c r="X31" s="57" t="str">
        <x:v>sensibilidad de índice compuesto</x:v>
      </x:c>
      <x:c r="Y31" s="57" t="str">
        <x:v>sensibilidad</x:v>
      </x:c>
      <x:c r="Z31" s="57" t="str">
        <x:v>transversal</x:v>
      </x:c>
      <x:c r="AA31" s="57" t="str">
        <x:v>La incertidumbre de índices compuestos debe propagarse y comunicarse mediante bandas.</x:v>
      </x:c>
      <x:c r="AB31" s="57" t="str">
        <x:v>none; bibliographic evidence does not modify model parameters automatically</x:v>
      </x:c>
      <x:c r="AC31" s="57" t="str">
        <x:v>Support corpus for an original article; not a systematic-review outcome.</x:v>
      </x:c>
    </x:row>
    <x:row r="32" ht="15" hidden="0" customHeight="1">
      <x:c r="A32" s="58" t="str">
        <x:v>R000175</x:v>
      </x:c>
      <x:c r="B32" s="58" t="n">
        <x:v>2</x:v>
      </x:c>
      <x:c r="C32" s="58" t="str">
        <x:v>uncertain</x:v>
      </x:c>
      <x:c r="D32" s="58" t="str">
        <x:v>El control constitucional de las resoluciones electorales en el Perú</x:v>
      </x:c>
      <x:c r="E32" s="58" t="str">
        <x:v>César Landa</x:v>
      </x:c>
      <x:c r="F32" s="58" t="n">
        <x:v>2011</x:v>
      </x:c>
      <x:c r="G32" s="58" t="str">
        <x:v>Revista Elecciones</x:v>
      </x:c>
      <x:c r="H32" s="58" t="str">
        <x:v>crossref</x:v>
      </x:c>
      <x:c r="I32" s="58" t="str">
        <x:v>module_E_es</x:v>
      </x:c>
      <x:c r="J32" s="58" t="str">
        <x:v>10.53557/elecciones.2011.v10n11.02</x:v>
      </x:c>
      <x:c r="K32" s="58" t="str">
        <x:v>https://doi.org/10.53557/elecciones.2011.v10n11.02</x:v>
      </x:c>
      <x:c r="L32" s="58" t="str">
        <x:v>https://doi.org/10.53557/elecciones.2011.v10n11.02</x:v>
      </x:c>
      <x:c r="M32" s="58" t="str">
        <x:v>retrieved</x:v>
      </x:c>
      <x:c r="N32" s="58" t="str">
        <x:v>legal_open_web</x:v>
      </x:c>
      <x:c r="O32" s="58" t="str">
        <x:v>ONPE_fulltext</x:v>
      </x:c>
      <x:c r="P32" s="58" t="str">
        <x:v>passed</x:v>
      </x:c>
      <x:c r="Q32" s="58" t="str">
        <x:v>yes</x:v>
      </x:c>
      <x:c r="R32" s="58" t="str">
        <x:v>eligible</x:v>
      </x:c>
      <x:c r="S32" s="58" t="str">
        <x:v>included</x:v>
      </x:c>
      <x:c r="T32" s="58"/>
      <x:c r="U32" s="58" t="str">
        <x:v>MMAT_2018</x:v>
      </x:c>
      <x:c r="V32" s="58" t="str">
        <x:v>alta</x:v>
      </x:c>
      <x:c r="W32" s="58" t="str">
        <x:v>Discusión</x:v>
      </x:c>
      <x:c r="X32" s="58" t="str">
        <x:v>control constitucional electoral</x:v>
      </x:c>
      <x:c r="Y32" s="58" t="str">
        <x:v>proceso_electoral</x:v>
      </x:c>
      <x:c r="Z32" s="58" t="str">
        <x:v>recuperacion</x:v>
      </x:c>
      <x:c r="AA32" s="58" t="str">
        <x:v>El control constitucional en materia electoral integra la arquitectura de contrapesos.</x:v>
      </x:c>
      <x:c r="AB32" s="58" t="str">
        <x:v>none; bibliographic evidence does not modify model parameters automatically</x:v>
      </x:c>
      <x:c r="AC32" s="58" t="str">
        <x:v>Support corpus for an original article; not a systematic-review outcome.</x:v>
      </x:c>
    </x:row>
    <x:row r="33" ht="15" hidden="0" customHeight="1">
      <x:c r="A33" s="57" t="str">
        <x:v>R000201</x:v>
      </x:c>
      <x:c r="B33" s="57" t="n">
        <x:v>2</x:v>
      </x:c>
      <x:c r="C33" s="57" t="str">
        <x:v>uncertain</x:v>
      </x:c>
      <x:c r="D33" s="57" t="str">
        <x:v>Reforma política : para consolidar el régimen democrático</x:v>
      </x:c>
      <x:c r="E33" s="57" t="str">
        <x:v>Pease García, Henry</x:v>
      </x:c>
      <x:c r="F33" s="57" t="n">
        <x:v>2008</x:v>
      </x:c>
      <x:c r="G33" s="57"/>
      <x:c r="H33" s="57" t="str">
        <x:v>core</x:v>
      </x:c>
      <x:c r="I33" s="57" t="str">
        <x:v>module_A_es</x:v>
      </x:c>
      <x:c r="J33" s="57" t="str">
        <x:v>10.18800/9789972428531</x:v>
      </x:c>
      <x:c r="K33" s="57" t="str">
        <x:v>https://core.ac.uk/download/655679774.pdf</x:v>
      </x:c>
      <x:c r="L33" s="57" t="str">
        <x:v>https://core.ac.uk/download/655679774.pdf</x:v>
      </x:c>
      <x:c r="M33" s="57" t="str">
        <x:v>retrieved</x:v>
      </x:c>
      <x:c r="N33" s="57" t="str">
        <x:v>legal_open_web</x:v>
      </x:c>
      <x:c r="O33" s="57" t="str">
        <x:v>PUCP_repository_fulltext</x:v>
      </x:c>
      <x:c r="P33" s="57" t="str">
        <x:v>passed</x:v>
      </x:c>
      <x:c r="Q33" s="57" t="str">
        <x:v>yes</x:v>
      </x:c>
      <x:c r="R33" s="57" t="str">
        <x:v>eligible</x:v>
      </x:c>
      <x:c r="S33" s="57" t="str">
        <x:v>included</x:v>
      </x:c>
      <x:c r="T33" s="57"/>
      <x:c r="U33" s="57" t="str">
        <x:v>AACODS</x:v>
      </x:c>
      <x:c r="V33" s="57" t="str">
        <x:v>alta</x:v>
      </x:c>
      <x:c r="W33" s="57" t="str">
        <x:v>Discusión</x:v>
      </x:c>
      <x:c r="X33" s="57" t="str">
        <x:v>reforma política peruana</x:v>
      </x:c>
      <x:c r="Y33" s="57" t="str">
        <x:v>funcionamiento_gobierno</x:v>
      </x:c>
      <x:c r="Z33" s="57" t="str">
        <x:v>recuperacion</x:v>
      </x:c>
      <x:c r="AA33" s="57" t="str">
        <x:v>La reforma política delimita opciones institucionales plausibles de recuperación.</x:v>
      </x:c>
      <x:c r="AB33" s="57" t="str">
        <x:v>none; bibliographic evidence does not modify model parameters automatically</x:v>
      </x:c>
      <x:c r="AC33" s="57" t="str">
        <x:v>Support corpus for an original article; not a systematic-review outcome.</x:v>
      </x:c>
    </x:row>
    <x:row r="34" ht="15" hidden="0" customHeight="1">
      <x:c r="A34" s="58" t="str">
        <x:v>R000643</x:v>
      </x:c>
      <x:c r="B34" s="58" t="n">
        <x:v>2</x:v>
      </x:c>
      <x:c r="C34" s="58" t="str">
        <x:v>uncertain</x:v>
      </x:c>
      <x:c r="D34" s="58" t="str">
        <x:v>Neoconservadorismo na América Latina: o ataque aos direitos sexuais e reprodutivos como elemento da erosão democrática</x:v>
      </x:c>
      <x:c r="E34" s="58" t="str">
        <x:v>Joyce Miranda Leão Martins</x:v>
      </x:c>
      <x:c r="F34" s="58" t="n">
        <x:v>2022</x:v>
      </x:c>
      <x:c r="G34" s="58" t="str">
        <x:v>Revista Brasileira de Ciência Política</x:v>
      </x:c>
      <x:c r="H34" s="58" t="str">
        <x:v>scielo</x:v>
      </x:c>
      <x:c r="I34" s="58" t="str">
        <x:v>module_A_pt</x:v>
      </x:c>
      <x:c r="J34" s="58" t="str">
        <x:v>10.1590/0103-3352.2022.37.254322</x:v>
      </x:c>
      <x:c r="K34" s="58" t="str">
        <x:v>https://doi.org/10.1590/0103-3352.2022.37.254322</x:v>
      </x:c>
      <x:c r="L34" s="58" t="str">
        <x:v>https://doi.org/10.1590/0103-3352.2022.37.254322</x:v>
      </x:c>
      <x:c r="M34" s="58" t="str">
        <x:v>retrieved</x:v>
      </x:c>
      <x:c r="N34" s="58" t="str">
        <x:v>legal_open_web</x:v>
      </x:c>
      <x:c r="O34" s="58" t="str">
        <x:v>scielo_full_html</x:v>
      </x:c>
      <x:c r="P34" s="58" t="str">
        <x:v>passed</x:v>
      </x:c>
      <x:c r="Q34" s="58" t="str">
        <x:v>yes</x:v>
      </x:c>
      <x:c r="R34" s="58" t="str">
        <x:v>eligible</x:v>
      </x:c>
      <x:c r="S34" s="58" t="str">
        <x:v>included</x:v>
      </x:c>
      <x:c r="T34" s="58"/>
      <x:c r="U34" s="58" t="str">
        <x:v>MMAT_2018</x:v>
      </x:c>
      <x:c r="V34" s="58" t="str">
        <x:v>alta</x:v>
      </x:c>
      <x:c r="W34" s="58" t="str">
        <x:v>Discusión</x:v>
      </x:c>
      <x:c r="X34" s="58" t="str">
        <x:v>derechos y erosión regional</x:v>
      </x:c>
      <x:c r="Y34" s="58" t="str">
        <x:v>libertades_civiles</x:v>
      </x:c>
      <x:c r="Z34" s="58" t="str">
        <x:v>restrictivo</x:v>
      </x:c>
      <x:c r="AA34" s="58" t="str">
        <x:v>Las agendas neoconservadoras pueden afectar derechos y libertades en contextos de erosión.</x:v>
      </x:c>
      <x:c r="AB34" s="58" t="str">
        <x:v>none; bibliographic evidence does not modify model parameters automatically</x:v>
      </x:c>
      <x:c r="AC34" s="58" t="str">
        <x:v>Support corpus for an original article; not a systematic-review outcome.</x:v>
      </x:c>
    </x:row>
  </x:sheetData>
  <x:mergeCells>
    <x:mergeCell ref="A1:AC1"/>
    <x:mergeCell ref="A2:AC2"/>
  </x:mergeCells>
  <x:pageMargins left="0.7" right="0.7" top="0.75" bottom="0.75" header="0.3" footer="0.3"/>
  <x:tableParts count="1">
    <x:tablePart xmlns:r="http://schemas.openxmlformats.org/officeDocument/2006/relationships" r:id="Re607c1d5494848c7"/>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38" hidden="0" customWidth="1"/>
    <x:col min="2" max="2" width="38" hidden="0" customWidth="1"/>
    <x:col min="3" max="3" width="38" hidden="0" customWidth="1"/>
    <x:col min="4" max="4" width="44" hidden="0" customWidth="1"/>
    <x:col min="5" max="5" width="44" hidden="0" customWidth="1"/>
    <x:col min="6" max="6" width="38" hidden="0" customWidth="1"/>
    <x:col min="7" max="7" width="38" hidden="0" customWidth="1"/>
    <x:col min="8" max="8" width="38"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44" hidden="0" customWidth="1"/>
    <x:col min="16" max="16" width="38" hidden="0" customWidth="1"/>
    <x:col min="17" max="17" width="38" hidden="0" customWidth="1"/>
    <x:col min="18" max="18" width="38" hidden="0" customWidth="1"/>
    <x:col min="19" max="19" width="38" hidden="0" customWidth="1"/>
    <x:col min="20" max="20" width="44" hidden="0" customWidth="1"/>
    <x:col min="21" max="21" width="38" hidden="0" customWidth="1"/>
    <x:col min="22" max="22" width="38" hidden="0" customWidth="1"/>
    <x:col min="23" max="23" width="38" hidden="0" customWidth="1"/>
    <x:col min="24" max="24" width="38" hidden="0" customWidth="1"/>
    <x:col min="25" max="25" width="38" hidden="0" customWidth="1"/>
    <x:col min="26" max="26" width="38" hidden="0" customWidth="1"/>
    <x:col min="27" max="27" width="38" hidden="0" customWidth="1"/>
    <x:col min="28" max="28" width="38" hidden="0" customWidth="1"/>
    <x:col min="29" max="29" width="38" hidden="0" customWidth="1"/>
  </x:cols>
  <x:sheetData>
    <x:row r="1" ht="19.200000762939453" hidden="0" customHeight="1">
      <x:c r="A1" s="3" t="str">
        <x:v>Exclusiones tras texto completo (n = 13)</x:v>
      </x:c>
      <x:c r="B1" s="3" t="str">
        <x:v>Exclusiones tras texto completo (n = 13)</x:v>
      </x:c>
      <x:c r="C1" s="3" t="str">
        <x:v>Exclusiones tras texto completo (n = 13)</x:v>
      </x:c>
      <x:c r="D1" s="3" t="str">
        <x:v>Exclusiones tras texto completo (n = 13)</x:v>
      </x:c>
      <x:c r="E1" s="3" t="str">
        <x:v>Exclusiones tras texto completo (n = 13)</x:v>
      </x:c>
      <x:c r="F1" s="3" t="str">
        <x:v>Exclusiones tras texto completo (n = 13)</x:v>
      </x:c>
      <x:c r="G1" s="3" t="str">
        <x:v>Exclusiones tras texto completo (n = 13)</x:v>
      </x:c>
      <x:c r="H1" s="3" t="str">
        <x:v>Exclusiones tras texto completo (n = 13)</x:v>
      </x:c>
      <x:c r="I1" s="3" t="str">
        <x:v>Exclusiones tras texto completo (n = 13)</x:v>
      </x:c>
      <x:c r="J1" s="3" t="str">
        <x:v>Exclusiones tras texto completo (n = 13)</x:v>
      </x:c>
      <x:c r="K1" s="3" t="str">
        <x:v>Exclusiones tras texto completo (n = 13)</x:v>
      </x:c>
      <x:c r="L1" s="3" t="str">
        <x:v>Exclusiones tras texto completo (n = 13)</x:v>
      </x:c>
      <x:c r="M1" s="3" t="str">
        <x:v>Exclusiones tras texto completo (n = 13)</x:v>
      </x:c>
      <x:c r="N1" s="3" t="str">
        <x:v>Exclusiones tras texto completo (n = 13)</x:v>
      </x:c>
      <x:c r="O1" s="3" t="str">
        <x:v>Exclusiones tras texto completo (n = 13)</x:v>
      </x:c>
      <x:c r="P1" s="3" t="str">
        <x:v>Exclusiones tras texto completo (n = 13)</x:v>
      </x:c>
      <x:c r="Q1" s="3" t="str">
        <x:v>Exclusiones tras texto completo (n = 13)</x:v>
      </x:c>
      <x:c r="R1" s="3" t="str">
        <x:v>Exclusiones tras texto completo (n = 13)</x:v>
      </x:c>
      <x:c r="S1" s="3" t="str">
        <x:v>Exclusiones tras texto completo (n = 13)</x:v>
      </x:c>
      <x:c r="T1" s="3" t="str">
        <x:v>Exclusiones tras texto completo (n = 13)</x:v>
      </x:c>
      <x:c r="U1" s="3" t="str">
        <x:v>Exclusiones tras texto completo (n = 13)</x:v>
      </x:c>
      <x:c r="V1" s="3" t="str">
        <x:v>Exclusiones tras texto completo (n = 13)</x:v>
      </x:c>
      <x:c r="W1" s="3" t="str">
        <x:v>Exclusiones tras texto completo (n = 13)</x:v>
      </x:c>
      <x:c r="X1" s="3" t="str">
        <x:v>Exclusiones tras texto completo (n = 13)</x:v>
      </x:c>
      <x:c r="Y1" s="3" t="str">
        <x:v>Exclusiones tras texto completo (n = 13)</x:v>
      </x:c>
      <x:c r="Z1" s="3" t="str">
        <x:v>Exclusiones tras texto completo (n = 13)</x:v>
      </x:c>
      <x:c r="AA1" s="3" t="str">
        <x:v>Exclusiones tras texto completo (n = 13)</x:v>
      </x:c>
      <x:c r="AB1" s="3" t="str">
        <x:v>Exclusiones tras texto completo (n = 13)</x:v>
      </x:c>
      <x:c r="AC1" s="3" t="str">
        <x:v>Exclusiones tras texto completo (n = 13)</x:v>
      </x:c>
    </x:row>
    <x:row r="2" ht="15" hidden="0" customHeight="1">
      <x:c r="A2" s="7" t="str">
        <x:v>Motivos específicos y auditables; una razón principal por informe.</x:v>
      </x:c>
      <x:c r="B2" s="7" t="str">
        <x:v>Motivos específicos y auditables; una razón principal por informe.</x:v>
      </x:c>
      <x:c r="C2" s="7" t="str">
        <x:v>Motivos específicos y auditables; una razón principal por informe.</x:v>
      </x:c>
      <x:c r="D2" s="7" t="str">
        <x:v>Motivos específicos y auditables; una razón principal por informe.</x:v>
      </x:c>
      <x:c r="E2" s="7" t="str">
        <x:v>Motivos específicos y auditables; una razón principal por informe.</x:v>
      </x:c>
      <x:c r="F2" s="7" t="str">
        <x:v>Motivos específicos y auditables; una razón principal por informe.</x:v>
      </x:c>
      <x:c r="G2" s="7" t="str">
        <x:v>Motivos específicos y auditables; una razón principal por informe.</x:v>
      </x:c>
      <x:c r="H2" s="7" t="str">
        <x:v>Motivos específicos y auditables; una razón principal por informe.</x:v>
      </x:c>
      <x:c r="I2" s="7" t="str">
        <x:v>Motivos específicos y auditables; una razón principal por informe.</x:v>
      </x:c>
      <x:c r="J2" s="7" t="str">
        <x:v>Motivos específicos y auditables; una razón principal por informe.</x:v>
      </x:c>
      <x:c r="K2" s="7" t="str">
        <x:v>Motivos específicos y auditables; una razón principal por informe.</x:v>
      </x:c>
      <x:c r="L2" s="7" t="str">
        <x:v>Motivos específicos y auditables; una razón principal por informe.</x:v>
      </x:c>
      <x:c r="M2" s="7" t="str">
        <x:v>Motivos específicos y auditables; una razón principal por informe.</x:v>
      </x:c>
      <x:c r="N2" s="7" t="str">
        <x:v>Motivos específicos y auditables; una razón principal por informe.</x:v>
      </x:c>
      <x:c r="O2" s="7" t="str">
        <x:v>Motivos específicos y auditables; una razón principal por informe.</x:v>
      </x:c>
      <x:c r="P2" s="7" t="str">
        <x:v>Motivos específicos y auditables; una razón principal por informe.</x:v>
      </x:c>
      <x:c r="Q2" s="7" t="str">
        <x:v>Motivos específicos y auditables; una razón principal por informe.</x:v>
      </x:c>
      <x:c r="R2" s="7" t="str">
        <x:v>Motivos específicos y auditables; una razón principal por informe.</x:v>
      </x:c>
      <x:c r="S2" s="7" t="str">
        <x:v>Motivos específicos y auditables; una razón principal por informe.</x:v>
      </x:c>
      <x:c r="T2" s="7" t="str">
        <x:v>Motivos específicos y auditables; una razón principal por informe.</x:v>
      </x:c>
      <x:c r="U2" s="7" t="str">
        <x:v>Motivos específicos y auditables; una razón principal por informe.</x:v>
      </x:c>
      <x:c r="V2" s="7" t="str">
        <x:v>Motivos específicos y auditables; una razón principal por informe.</x:v>
      </x:c>
      <x:c r="W2" s="7" t="str">
        <x:v>Motivos específicos y auditables; una razón principal por informe.</x:v>
      </x:c>
      <x:c r="X2" s="7" t="str">
        <x:v>Motivos específicos y auditables; una razón principal por informe.</x:v>
      </x:c>
      <x:c r="Y2" s="7" t="str">
        <x:v>Motivos específicos y auditables; una razón principal por informe.</x:v>
      </x:c>
      <x:c r="Z2" s="7" t="str">
        <x:v>Motivos específicos y auditables; una razón principal por informe.</x:v>
      </x:c>
      <x:c r="AA2" s="7" t="str">
        <x:v>Motivos específicos y auditables; una razón principal por informe.</x:v>
      </x:c>
      <x:c r="AB2" s="7" t="str">
        <x:v>Motivos específicos y auditables; una razón principal por informe.</x:v>
      </x:c>
      <x:c r="AC2" s="7" t="str">
        <x:v>Motivos específicos y auditables; una razón principal por informe.</x:v>
      </x:c>
    </x:row>
    <x:row r="3" ht="15" hidden="0" customHeight="1">
      <x:c r="A3" s="8"/>
      <x:c r="B3" s="8"/>
      <x:c r="C3" s="8"/>
      <x:c r="D3" s="8"/>
      <x:c r="E3" s="8"/>
      <x:c r="F3" s="8"/>
      <x:c r="G3" s="8"/>
      <x:c r="H3" s="8"/>
      <x:c r="I3" s="8"/>
      <x:c r="J3" s="8"/>
      <x:c r="K3" s="8"/>
      <x:c r="L3" s="8"/>
      <x:c r="M3" s="8"/>
      <x:c r="N3" s="8"/>
      <x:c r="O3" s="8"/>
      <x:c r="P3" s="8"/>
      <x:c r="Q3" s="8"/>
      <x:c r="R3" s="8"/>
      <x:c r="S3" s="8"/>
      <x:c r="T3" s="8"/>
      <x:c r="U3" s="8"/>
      <x:c r="V3" s="8"/>
      <x:c r="W3" s="8"/>
      <x:c r="X3" s="8"/>
      <x:c r="Y3" s="8"/>
      <x:c r="Z3" s="8"/>
      <x:c r="AA3" s="8"/>
      <x:c r="AB3" s="8"/>
      <x:c r="AC3" s="8"/>
    </x:row>
    <x:row r="4"/>
    <x:row r="5" ht="15" hidden="0" customHeight="1">
      <x:c r="A5" s="14" t="str">
        <x:v>﻿record_id</x:v>
      </x:c>
      <x:c r="B5" s="14" t="str">
        <x:v>queue_priority</x:v>
      </x:c>
      <x:c r="C5" s="14" t="str">
        <x:v>title_abstract_status</x:v>
      </x:c>
      <x:c r="D5" s="14" t="str">
        <x:v>title</x:v>
      </x:c>
      <x:c r="E5" s="14" t="str">
        <x:v>authors</x:v>
      </x:c>
      <x:c r="F5" s="14" t="str">
        <x:v>year</x:v>
      </x:c>
      <x:c r="G5" s="14" t="str">
        <x:v>source</x:v>
      </x:c>
      <x:c r="H5" s="14" t="str">
        <x:v>database</x:v>
      </x:c>
      <x:c r="I5" s="14" t="str">
        <x:v>profile</x:v>
      </x:c>
      <x:c r="J5" s="14" t="str">
        <x:v>doi</x:v>
      </x:c>
      <x:c r="K5" s="14" t="str">
        <x:v>record_url</x:v>
      </x:c>
      <x:c r="L5" s="14" t="str">
        <x:v>fulltext_url</x:v>
      </x:c>
      <x:c r="M5" s="14" t="str">
        <x:v>retrieval_status</x:v>
      </x:c>
      <x:c r="N5" s="14" t="str">
        <x:v>access_route</x:v>
      </x:c>
      <x:c r="O5" s="14" t="str">
        <x:v>retrieval_evidence</x:v>
      </x:c>
      <x:c r="P5" s="14" t="str">
        <x:v>pdf_identity_gate</x:v>
      </x:c>
      <x:c r="Q5" s="14" t="str">
        <x:v>fulltext_assessed</x:v>
      </x:c>
      <x:c r="R5" s="14" t="str">
        <x:v>eligibility_status</x:v>
      </x:c>
      <x:c r="S5" s="14" t="str">
        <x:v>final_inclusion</x:v>
      </x:c>
      <x:c r="T5" s="14" t="str">
        <x:v>exclusion_reason</x:v>
      </x:c>
      <x:c r="U5" s="14" t="str">
        <x:v>appraisal_tool</x:v>
      </x:c>
      <x:c r="V5" s="14" t="str">
        <x:v>appraisal_rating</x:v>
      </x:c>
      <x:c r="W5" s="14" t="str">
        <x:v>article_section</x:v>
      </x:c>
      <x:c r="X5" s="14" t="str">
        <x:v>evidence_role</x:v>
      </x:c>
      <x:c r="Y5" s="14" t="str">
        <x:v>democracy_dimension</x:v>
      </x:c>
      <x:c r="Z5" s="14" t="str">
        <x:v>scenario_link</x:v>
      </x:c>
      <x:c r="AA5" s="14" t="str">
        <x:v>claim_supported</x:v>
      </x:c>
      <x:c r="AB5" s="14" t="str">
        <x:v>parameter_effect</x:v>
      </x:c>
      <x:c r="AC5" s="14" t="str">
        <x:v>review_note</x:v>
      </x:c>
    </x:row>
    <x:row r="6" ht="15" hidden="0" customHeight="1">
      <x:c r="A6" s="58" t="str">
        <x:v>R000030</x:v>
      </x:c>
      <x:c r="B6" s="58" t="n">
        <x:v>1</x:v>
      </x:c>
      <x:c r="C6" s="58" t="str">
        <x:v>provisional_include</x:v>
      </x:c>
      <x:c r="D6" s="58" t="str">
        <x:v>Estabilidad política y su impacto en las exportaciones de los países andinos miembros de la ALADI durante los años de 2001 al 2023</x:v>
      </x:c>
      <x:c r="E6" s="58" t="str">
        <x:v>Denisse Angie Chuco Torres; Yovanna Katherine Sanchez Oropeza</x:v>
      </x:c>
      <x:c r="F6" s="58" t="n">
        <x:v>2025</x:v>
      </x:c>
      <x:c r="G6" s="58" t="str">
        <x:v>Universidad Peruana de Ciencias Aplicadas (UPC)</x:v>
      </x:c>
      <x:c r="H6" s="58" t="str">
        <x:v>openalex</x:v>
      </x:c>
      <x:c r="I6" s="58" t="str">
        <x:v>module_C_es</x:v>
      </x:c>
      <x:c r="J6" s="58" t="str">
        <x:v>10.19083/tesis/687019</x:v>
      </x:c>
      <x:c r="K6" s="58" t="str">
        <x:v>https://openalex.org/W7142941161</x:v>
      </x:c>
      <x:c r="L6" s="58" t="str">
        <x:v>https://repositorioacademico.upc.edu.pe/bitstream/10757/687019/1/Chuco_TD.pdf</x:v>
      </x:c>
      <x:c r="M6" s="58" t="str">
        <x:v>retrieved</x:v>
      </x:c>
      <x:c r="N6" s="58" t="str">
        <x:v>drive_open_access</x:v>
      </x:c>
      <x:c r="O6" s="58" t="str">
        <x:v>Google Drive OA folder; local extraction drive_18.txt</x:v>
      </x:c>
      <x:c r="P6" s="58" t="str">
        <x:v>passed</x:v>
      </x:c>
      <x:c r="Q6" s="58" t="str">
        <x:v>yes</x:v>
      </x:c>
      <x:c r="R6" s="58" t="str">
        <x:v>excluded_after_fulltext</x:v>
      </x:c>
      <x:c r="S6" s="58" t="str">
        <x:v>excluded</x:v>
      </x:c>
      <x:c r="T6" s="58" t="str">
        <x:v>EXC_NO_DIRECT_CONTRIBUTION_TO_ORIGINAL_ARTICLE: Asociación macroeconómica sin aporte directo al problema democrático del manuscrito.</x:v>
      </x:c>
      <x:c r="U6" s="58"/>
      <x:c r="V6" s="58"/>
      <x:c r="W6" s="58"/>
      <x:c r="X6" s="58"/>
      <x:c r="Y6" s="58"/>
      <x:c r="Z6" s="58"/>
      <x:c r="AA6" s="58"/>
      <x:c r="AB6" s="58" t="str">
        <x:v>none; bibliographic evidence does not modify model parameters automatically</x:v>
      </x:c>
      <x:c r="AC6" s="58" t="str">
        <x:v>Support corpus for an original article; not a systematic-review outcome.</x:v>
      </x:c>
    </x:row>
    <x:row r="7" ht="15" hidden="0" customHeight="1">
      <x:c r="A7" s="57" t="str">
        <x:v>R000117</x:v>
      </x:c>
      <x:c r="B7" s="57" t="n">
        <x:v>1</x:v>
      </x:c>
      <x:c r="C7" s="57" t="str">
        <x:v>provisional_include</x:v>
      </x:c>
      <x:c r="D7" s="57" t="str">
        <x:v>Propuesta de un Índice para la Medición de Democracia Económica en Costa Rica (Proposal of an index to measure economic democracy in Costa Rica)</x:v>
      </x:c>
      <x:c r="E7" s="57" t="str">
        <x:v>Lizette Brenes Bonilla; Ligia Bermúdez Mesén</x:v>
      </x:c>
      <x:c r="F7" s="57" t="n">
        <x:v>2012</x:v>
      </x:c>
      <x:c r="G7" s="57" t="str">
        <x:v>TEC Empresarial</x:v>
      </x:c>
      <x:c r="H7" s="57" t="str">
        <x:v>crossref</x:v>
      </x:c>
      <x:c r="I7" s="57" t="str">
        <x:v>module_C_es</x:v>
      </x:c>
      <x:c r="J7" s="57" t="str">
        <x:v>10.18845/te.v6i1.581</x:v>
      </x:c>
      <x:c r="K7" s="57" t="str">
        <x:v>https://doi.org/10.18845/te.v6i1.581</x:v>
      </x:c>
      <x:c r="L7" s="57" t="str">
        <x:v>https://revistas.tec.ac.cr/index.php/tec_empresarial/article/download/581/506</x:v>
      </x:c>
      <x:c r="M7" s="57" t="str">
        <x:v>retrieved</x:v>
      </x:c>
      <x:c r="N7" s="57" t="str">
        <x:v>drive_open_access</x:v>
      </x:c>
      <x:c r="O7" s="57" t="str">
        <x:v>Google Drive OA folder; local extraction drive_08.txt</x:v>
      </x:c>
      <x:c r="P7" s="57" t="str">
        <x:v>passed</x:v>
      </x:c>
      <x:c r="Q7" s="57" t="str">
        <x:v>yes</x:v>
      </x:c>
      <x:c r="R7" s="57" t="str">
        <x:v>excluded_after_fulltext</x:v>
      </x:c>
      <x:c r="S7" s="57" t="str">
        <x:v>excluded</x:v>
      </x:c>
      <x:c r="T7" s="57" t="str">
        <x:v>EXC_WRONG_CONSTRUCT_OR_OUTCOME: El índice analizado mide democracia económica, no calidad democrática ni funcionamiento gubernamental.</x:v>
      </x:c>
      <x:c r="U7" s="57"/>
      <x:c r="V7" s="57"/>
      <x:c r="W7" s="57"/>
      <x:c r="X7" s="57"/>
      <x:c r="Y7" s="57"/>
      <x:c r="Z7" s="57"/>
      <x:c r="AA7" s="57"/>
      <x:c r="AB7" s="57" t="str">
        <x:v>none; bibliographic evidence does not modify model parameters automatically</x:v>
      </x:c>
      <x:c r="AC7" s="57" t="str">
        <x:v>Support corpus for an original article; not a systematic-review outcome.</x:v>
      </x:c>
    </x:row>
    <x:row r="8" ht="15" hidden="0" customHeight="1">
      <x:c r="A8" s="58" t="str">
        <x:v>R000349</x:v>
      </x:c>
      <x:c r="B8" s="58" t="n">
        <x:v>1</x:v>
      </x:c>
      <x:c r="C8" s="58" t="str">
        <x:v>provisional_include</x:v>
      </x:c>
      <x:c r="D8" s="58" t="str">
        <x:v>Floods and democratic attitudes: evidence from Latin America</x:v>
      </x:c>
      <x:c r="E8" s="58" t="str">
        <x:v>Birch S.</x:v>
      </x:c>
      <x:c r="F8" s="58" t="n">
        <x:v>2026</x:v>
      </x:c>
      <x:c r="G8" s="58" t="str">
        <x:v>Climatic Change</x:v>
      </x:c>
      <x:c r="H8" s="58" t="str">
        <x:v>scopus</x:v>
      </x:c>
      <x:c r="I8" s="58" t="str">
        <x:v>module_A_en</x:v>
      </x:c>
      <x:c r="J8" s="58" t="str">
        <x:v>10.1007/s10584-026-04259-5</x:v>
      </x:c>
      <x:c r="K8" s="58" t="str">
        <x:v>https://api.elsevier.com/content/abstract/scopus_id/105046505257</x:v>
      </x:c>
      <x:c r="L8" s="58" t="str">
        <x:v>https://link.springer.com/content/pdf/10.1007/s10584-026-04259-5.pdf</x:v>
      </x:c>
      <x:c r="M8" s="58" t="str">
        <x:v>retrieved</x:v>
      </x:c>
      <x:c r="N8" s="58" t="str">
        <x:v>drive_open_access</x:v>
      </x:c>
      <x:c r="O8" s="58" t="str">
        <x:v>Google Drive OA folder; local extraction drive_17.txt</x:v>
      </x:c>
      <x:c r="P8" s="58" t="str">
        <x:v>passed</x:v>
      </x:c>
      <x:c r="Q8" s="58" t="str">
        <x:v>yes</x:v>
      </x:c>
      <x:c r="R8" s="58" t="str">
        <x:v>excluded_after_fulltext</x:v>
      </x:c>
      <x:c r="S8" s="58" t="str">
        <x:v>excluded</x:v>
      </x:c>
      <x:c r="T8" s="58" t="str">
        <x:v>EXC_NO_DIRECT_CONTRIBUTION_TO_ORIGINAL_ARTICLE: El análisis de inundaciones y actitudes democráticas no sostiene una afirmación central del artículo.</x:v>
      </x:c>
      <x:c r="U8" s="58"/>
      <x:c r="V8" s="58"/>
      <x:c r="W8" s="58"/>
      <x:c r="X8" s="58"/>
      <x:c r="Y8" s="58"/>
      <x:c r="Z8" s="58"/>
      <x:c r="AA8" s="58"/>
      <x:c r="AB8" s="58" t="str">
        <x:v>none; bibliographic evidence does not modify model parameters automatically</x:v>
      </x:c>
      <x:c r="AC8" s="58" t="str">
        <x:v>Support corpus for an original article; not a systematic-review outcome.</x:v>
      </x:c>
    </x:row>
    <x:row r="9" ht="15" hidden="0" customHeight="1">
      <x:c r="A9" s="57" t="str">
        <x:v>R000352</x:v>
      </x:c>
      <x:c r="B9" s="57" t="n">
        <x:v>1</x:v>
      </x:c>
      <x:c r="C9" s="57" t="str">
        <x:v>provisional_include</x:v>
      </x:c>
      <x:c r="D9" s="57" t="str">
        <x:v>What Can Latin America Tell Us about Subnational Democratic Erosion in the United States?</x:v>
      </x:c>
      <x:c r="E9" s="57" t="str">
        <x:v>Eaton K.</x:v>
      </x:c>
      <x:c r="F9" s="57" t="n">
        <x:v>2026</x:v>
      </x:c>
      <x:c r="G9" s="57" t="str">
        <x:v>Perspectives on Politics</x:v>
      </x:c>
      <x:c r="H9" s="57" t="str">
        <x:v>scopus</x:v>
      </x:c>
      <x:c r="I9" s="57" t="str">
        <x:v>module_A_en</x:v>
      </x:c>
      <x:c r="J9" s="57" t="str">
        <x:v>10.1017/s1537592725000015</x:v>
      </x:c>
      <x:c r="K9" s="57" t="str">
        <x:v>https://api.elsevier.com/content/abstract/scopus_id/105001289217</x:v>
      </x:c>
      <x:c r="L9" s="57" t="str">
        <x:v>https://doi.org/10.1017/s1537592725000015</x:v>
      </x:c>
      <x:c r="M9" s="57" t="str">
        <x:v>retrieved</x:v>
      </x:c>
      <x:c r="N9" s="57" t="str">
        <x:v>drive_open_access</x:v>
      </x:c>
      <x:c r="O9" s="57" t="str">
        <x:v>Google Drive OA folder; local extraction drive_01.txt</x:v>
      </x:c>
      <x:c r="P9" s="57" t="str">
        <x:v>passed</x:v>
      </x:c>
      <x:c r="Q9" s="57" t="str">
        <x:v>yes</x:v>
      </x:c>
      <x:c r="R9" s="57" t="str">
        <x:v>excluded_after_fulltext</x:v>
      </x:c>
      <x:c r="S9" s="57" t="str">
        <x:v>excluded</x:v>
      </x:c>
      <x:c r="T9" s="57" t="str">
        <x:v>EXC_CONTEXT_NOT_TRANSFERABLE: La comparación regional no ofrece un mecanismo transferible al caso peruano estudiado.</x:v>
      </x:c>
      <x:c r="U9" s="57"/>
      <x:c r="V9" s="57"/>
      <x:c r="W9" s="57"/>
      <x:c r="X9" s="57"/>
      <x:c r="Y9" s="57"/>
      <x:c r="Z9" s="57"/>
      <x:c r="AA9" s="57"/>
      <x:c r="AB9" s="57" t="str">
        <x:v>none; bibliographic evidence does not modify model parameters automatically</x:v>
      </x:c>
      <x:c r="AC9" s="57" t="str">
        <x:v>Support corpus for an original article; not a systematic-review outcome.</x:v>
      </x:c>
    </x:row>
    <x:row r="10" ht="15" hidden="0" customHeight="1">
      <x:c r="A10" s="58" t="str">
        <x:v>R000353</x:v>
      </x:c>
      <x:c r="B10" s="58" t="n">
        <x:v>1</x:v>
      </x:c>
      <x:c r="C10" s="58" t="str">
        <x:v>provisional_include</x:v>
      </x:c>
      <x:c r="D10" s="58" t="str">
        <x:v>Public acceptance of environmental restrictions beyond high-income democracies</x:v>
      </x:c>
      <x:c r="E10" s="58" t="str">
        <x:v>Jud S.</x:v>
      </x:c>
      <x:c r="F10" s="58" t="n">
        <x:v>2026</x:v>
      </x:c>
      <x:c r="G10" s="58" t="str">
        <x:v>Environmental Research Letters</x:v>
      </x:c>
      <x:c r="H10" s="58" t="str">
        <x:v>scopus</x:v>
      </x:c>
      <x:c r="I10" s="58" t="str">
        <x:v>module_A_en</x:v>
      </x:c>
      <x:c r="J10" s="58" t="str">
        <x:v>10.1088/1748-9326/ae666e</x:v>
      </x:c>
      <x:c r="K10" s="58" t="str">
        <x:v>https://api.elsevier.com/content/abstract/scopus_id/105040031341</x:v>
      </x:c>
      <x:c r="L10" s="58" t="str">
        <x:v>https://iopscience.iop.org/article/10.1088/1748-9326/ae666e/pdf</x:v>
      </x:c>
      <x:c r="M10" s="58" t="str">
        <x:v>retrieved</x:v>
      </x:c>
      <x:c r="N10" s="58" t="str">
        <x:v>drive_open_access</x:v>
      </x:c>
      <x:c r="O10" s="58" t="str">
        <x:v>Google Drive OA folder; local extraction drive_07.txt</x:v>
      </x:c>
      <x:c r="P10" s="58" t="str">
        <x:v>passed</x:v>
      </x:c>
      <x:c r="Q10" s="58" t="str">
        <x:v>yes</x:v>
      </x:c>
      <x:c r="R10" s="58" t="str">
        <x:v>excluded_after_fulltext</x:v>
      </x:c>
      <x:c r="S10" s="58" t="str">
        <x:v>excluded</x:v>
      </x:c>
      <x:c r="T10" s="58" t="str">
        <x:v>EXC_NO_DIRECT_CONTRIBUTION_TO_ORIGINAL_ARTICLE: Las restricciones ambientales no aportan evidencia directa a dimensiones o escenarios del visor.</x:v>
      </x:c>
      <x:c r="U10" s="58"/>
      <x:c r="V10" s="58"/>
      <x:c r="W10" s="58"/>
      <x:c r="X10" s="58"/>
      <x:c r="Y10" s="58"/>
      <x:c r="Z10" s="58"/>
      <x:c r="AA10" s="58"/>
      <x:c r="AB10" s="58" t="str">
        <x:v>none; bibliographic evidence does not modify model parameters automatically</x:v>
      </x:c>
      <x:c r="AC10" s="58" t="str">
        <x:v>Support corpus for an original article; not a systematic-review outcome.</x:v>
      </x:c>
    </x:row>
    <x:row r="11" ht="15" hidden="0" customHeight="1">
      <x:c r="A11" s="57" t="str">
        <x:v>R000518</x:v>
      </x:c>
      <x:c r="B11" s="57" t="n">
        <x:v>1</x:v>
      </x:c>
      <x:c r="C11" s="57" t="str">
        <x:v>provisional_include</x:v>
      </x:c>
      <x:c r="D11" s="57" t="str">
        <x:v>Opening or foreclosing futures? A longitudinal analysis of European bioeconomy foresight (SCAR, 2007–2020)</x:v>
      </x:c>
      <x:c r="E11" s="57" t="str">
        <x:v>Vastenaekels J.</x:v>
      </x:c>
      <x:c r="F11" s="57" t="n">
        <x:v>2026</x:v>
      </x:c>
      <x:c r="G11" s="57" t="str">
        <x:v>European Journal of Futures Research</x:v>
      </x:c>
      <x:c r="H11" s="57" t="str">
        <x:v>scopus</x:v>
      </x:c>
      <x:c r="I11" s="57" t="str">
        <x:v>module_D_en</x:v>
      </x:c>
      <x:c r="J11" s="57" t="str">
        <x:v>10.1186/s40309-026-00274-y</x:v>
      </x:c>
      <x:c r="K11" s="57" t="str">
        <x:v>https://api.elsevier.com/content/abstract/scopus_id/105040913650</x:v>
      </x:c>
      <x:c r="L11" s="57" t="str">
        <x:v>https://doi.org/10.1186/s40309-026-00274-y</x:v>
      </x:c>
      <x:c r="M11" s="57" t="str">
        <x:v>retrieved</x:v>
      </x:c>
      <x:c r="N11" s="57" t="str">
        <x:v>drive_open_access</x:v>
      </x:c>
      <x:c r="O11" s="57" t="str">
        <x:v>Google Drive OA folder; local extraction drive_12.txt</x:v>
      </x:c>
      <x:c r="P11" s="57" t="str">
        <x:v>passed</x:v>
      </x:c>
      <x:c r="Q11" s="57" t="str">
        <x:v>yes</x:v>
      </x:c>
      <x:c r="R11" s="57" t="str">
        <x:v>excluded_after_fulltext</x:v>
      </x:c>
      <x:c r="S11" s="57" t="str">
        <x:v>excluded</x:v>
      </x:c>
      <x:c r="T11" s="57" t="str">
        <x:v>EXC_NO_DIRECT_CONTRIBUTION_TO_ORIGINAL_ARTICLE: La prospectiva de bioeconomía no corresponde al dominio institucional del estudio.</x:v>
      </x:c>
      <x:c r="U11" s="57"/>
      <x:c r="V11" s="57"/>
      <x:c r="W11" s="57"/>
      <x:c r="X11" s="57"/>
      <x:c r="Y11" s="57"/>
      <x:c r="Z11" s="57"/>
      <x:c r="AA11" s="57"/>
      <x:c r="AB11" s="57" t="str">
        <x:v>none; bibliographic evidence does not modify model parameters automatically</x:v>
      </x:c>
      <x:c r="AC11" s="57" t="str">
        <x:v>Support corpus for an original article; not a systematic-review outcome.</x:v>
      </x:c>
    </x:row>
    <x:row r="12" ht="15" hidden="0" customHeight="1">
      <x:c r="A12" s="58" t="str">
        <x:v>R000519</x:v>
      </x:c>
      <x:c r="B12" s="58" t="n">
        <x:v>1</x:v>
      </x:c>
      <x:c r="C12" s="58" t="str">
        <x:v>provisional_include</x:v>
      </x:c>
      <x:c r="D12" s="58" t="str">
        <x:v>Bridging foresight and transition theory: policy mixes for transforming Europe’s food systems</x:v>
      </x:c>
      <x:c r="E12" s="58" t="str">
        <x:v>Lorenz U.</x:v>
      </x:c>
      <x:c r="F12" s="58" t="n">
        <x:v>2026</x:v>
      </x:c>
      <x:c r="G12" s="58" t="str">
        <x:v>European Journal of Futures Research</x:v>
      </x:c>
      <x:c r="H12" s="58" t="str">
        <x:v>scopus</x:v>
      </x:c>
      <x:c r="I12" s="58" t="str">
        <x:v>module_D_en</x:v>
      </x:c>
      <x:c r="J12" s="58" t="str">
        <x:v>10.1186/s40309-026-00284-w</x:v>
      </x:c>
      <x:c r="K12" s="58" t="str">
        <x:v>https://api.elsevier.com/content/abstract/scopus_id/105046460366</x:v>
      </x:c>
      <x:c r="L12" s="58" t="str">
        <x:v>https://link.springer.com/content/pdf/10.1186/s40309-026-00284-w.pdf</x:v>
      </x:c>
      <x:c r="M12" s="58" t="str">
        <x:v>retrieved</x:v>
      </x:c>
      <x:c r="N12" s="58" t="str">
        <x:v>drive_open_access</x:v>
      </x:c>
      <x:c r="O12" s="58" t="str">
        <x:v>Google Drive OA folder; local extraction drive_25.txt</x:v>
      </x:c>
      <x:c r="P12" s="58" t="str">
        <x:v>passed</x:v>
      </x:c>
      <x:c r="Q12" s="58" t="str">
        <x:v>yes</x:v>
      </x:c>
      <x:c r="R12" s="58" t="str">
        <x:v>excluded_after_fulltext</x:v>
      </x:c>
      <x:c r="S12" s="58" t="str">
        <x:v>excluded</x:v>
      </x:c>
      <x:c r="T12" s="58" t="str">
        <x:v>EXC_NO_DIRECT_CONTRIBUTION_TO_ORIGINAL_ARTICLE: La transición alimentaria prospectiva no sustenta el modelo ni la discusión democrática.</x:v>
      </x:c>
      <x:c r="U12" s="58"/>
      <x:c r="V12" s="58"/>
      <x:c r="W12" s="58"/>
      <x:c r="X12" s="58"/>
      <x:c r="Y12" s="58"/>
      <x:c r="Z12" s="58"/>
      <x:c r="AA12" s="58"/>
      <x:c r="AB12" s="58" t="str">
        <x:v>none; bibliographic evidence does not modify model parameters automatically</x:v>
      </x:c>
      <x:c r="AC12" s="58" t="str">
        <x:v>Support corpus for an original article; not a systematic-review outcome.</x:v>
      </x:c>
    </x:row>
    <x:row r="13" ht="15" hidden="0" customHeight="1">
      <x:c r="A13" s="57" t="str">
        <x:v>R000541</x:v>
      </x:c>
      <x:c r="B13" s="57" t="n">
        <x:v>1</x:v>
      </x:c>
      <x:c r="C13" s="57" t="str">
        <x:v>provisional_include</x:v>
      </x:c>
      <x:c r="D13" s="57" t="str">
        <x:v>Children of the revolution? Democratic innovations during the first 50 years of democracy in Portugal</x:v>
      </x:c>
      <x:c r="E13" s="57" t="str">
        <x:v>Falanga R.</x:v>
      </x:c>
      <x:c r="F13" s="57" t="n">
        <x:v>2026</x:v>
      </x:c>
      <x:c r="G13" s="57" t="str">
        <x:v>European Political Science</x:v>
      </x:c>
      <x:c r="H13" s="57" t="str">
        <x:v>scopus</x:v>
      </x:c>
      <x:c r="I13" s="57" t="str">
        <x:v>module_D_es</x:v>
      </x:c>
      <x:c r="J13" s="57" t="str">
        <x:v>10.1017/s1682098325100052</x:v>
      </x:c>
      <x:c r="K13" s="57" t="str">
        <x:v>https://api.elsevier.com/content/abstract/scopus_id/105035700778</x:v>
      </x:c>
      <x:c r="L13" s="57" t="str">
        <x:v>https://www.cambridge.org/core/services/aop-cambridge-core/content/view/178A56DA98F69E3BD3F3E5356A1FEC03/S1682098325100052a.pdf/div-class-title-children-of-the-revolution-democratic-innovations-during-the-first-50-years-of-democracy-in-portugal-div.pdf</x:v>
      </x:c>
      <x:c r="M13" s="57" t="str">
        <x:v>retrieved</x:v>
      </x:c>
      <x:c r="N13" s="57" t="str">
        <x:v>drive_open_access</x:v>
      </x:c>
      <x:c r="O13" s="57" t="str">
        <x:v>Google Drive OA folder; local extraction drive_24.txt</x:v>
      </x:c>
      <x:c r="P13" s="57" t="str">
        <x:v>passed</x:v>
      </x:c>
      <x:c r="Q13" s="57" t="str">
        <x:v>yes</x:v>
      </x:c>
      <x:c r="R13" s="57" t="str">
        <x:v>excluded_after_fulltext</x:v>
      </x:c>
      <x:c r="S13" s="57" t="str">
        <x:v>excluded</x:v>
      </x:c>
      <x:c r="T13" s="57" t="str">
        <x:v>EXC_CONTEXT_NOT_TRANSFERABLE: La innovación democrática portuguesa no es transferible sin un puente comparativo al Perú.</x:v>
      </x:c>
      <x:c r="U13" s="57"/>
      <x:c r="V13" s="57"/>
      <x:c r="W13" s="57"/>
      <x:c r="X13" s="57"/>
      <x:c r="Y13" s="57"/>
      <x:c r="Z13" s="57"/>
      <x:c r="AA13" s="57"/>
      <x:c r="AB13" s="57" t="str">
        <x:v>none; bibliographic evidence does not modify model parameters automatically</x:v>
      </x:c>
      <x:c r="AC13" s="57" t="str">
        <x:v>Support corpus for an original article; not a systematic-review outcome.</x:v>
      </x:c>
    </x:row>
    <x:row r="14" ht="15" hidden="0" customHeight="1">
      <x:c r="A14" s="58" t="str">
        <x:v>R000544</x:v>
      </x:c>
      <x:c r="B14" s="58" t="n">
        <x:v>1</x:v>
      </x:c>
      <x:c r="C14" s="58" t="str">
        <x:v>provisional_include</x:v>
      </x:c>
      <x:c r="D14" s="58" t="str">
        <x:v>Large Language Models for Designing Participatory Budgeting Rules</x:v>
      </x:c>
      <x:c r="E14" s="58" t="str">
        <x:v>Thach N.</x:v>
      </x:c>
      <x:c r="F14" s="58" t="n">
        <x:v>2026</x:v>
      </x:c>
      <x:c r="G14" s="58" t="str">
        <x:v>Aamas 2026 Proceedings of the 25th International Conference on Autonomous Agents and Multiagent Systems</x:v>
      </x:c>
      <x:c r="H14" s="58" t="str">
        <x:v>scopus</x:v>
      </x:c>
      <x:c r="I14" s="58" t="str">
        <x:v>module_D_es</x:v>
      </x:c>
      <x:c r="J14" s="58" t="str">
        <x:v>10.65109/lgep3560</x:v>
      </x:c>
      <x:c r="K14" s="58" t="str">
        <x:v>https://api.elsevier.com/content/abstract/scopus_id/105041395589</x:v>
      </x:c>
      <x:c r="L14" s="58" t="str">
        <x:v>https://doi.org/10.65109/lgep3560</x:v>
      </x:c>
      <x:c r="M14" s="58" t="str">
        <x:v>retrieved</x:v>
      </x:c>
      <x:c r="N14" s="58" t="str">
        <x:v>drive_open_access</x:v>
      </x:c>
      <x:c r="O14" s="58" t="str">
        <x:v>Google Drive OA folder; local extraction drive_14.txt</x:v>
      </x:c>
      <x:c r="P14" s="58" t="str">
        <x:v>passed</x:v>
      </x:c>
      <x:c r="Q14" s="58" t="str">
        <x:v>yes</x:v>
      </x:c>
      <x:c r="R14" s="58" t="str">
        <x:v>excluded_after_fulltext</x:v>
      </x:c>
      <x:c r="S14" s="58" t="str">
        <x:v>excluded</x:v>
      </x:c>
      <x:c r="T14" s="58" t="str">
        <x:v>EXC_NO_DIRECT_CONTRIBUTION_TO_ORIGINAL_ARTICLE: La aplicación de LLM al presupuesto participativo no se vincula con las variables del visor.</x:v>
      </x:c>
      <x:c r="U14" s="58"/>
      <x:c r="V14" s="58"/>
      <x:c r="W14" s="58"/>
      <x:c r="X14" s="58"/>
      <x:c r="Y14" s="58"/>
      <x:c r="Z14" s="58"/>
      <x:c r="AA14" s="58"/>
      <x:c r="AB14" s="58" t="str">
        <x:v>none; bibliographic evidence does not modify model parameters automatically</x:v>
      </x:c>
      <x:c r="AC14" s="58" t="str">
        <x:v>Support corpus for an original article; not a systematic-review outcome.</x:v>
      </x:c>
    </x:row>
    <x:row r="15" ht="15" hidden="0" customHeight="1">
      <x:c r="A15" s="57" t="str">
        <x:v>R000567</x:v>
      </x:c>
      <x:c r="B15" s="57" t="n">
        <x:v>1</x:v>
      </x:c>
      <x:c r="C15" s="57" t="str">
        <x:v>provisional_include</x:v>
      </x:c>
      <x:c r="D15" s="57" t="str">
        <x:v>Is national governance important for economic growth?</x:v>
      </x:c>
      <x:c r="E15" s="57" t="str">
        <x:v>dos Santos T.M.</x:v>
      </x:c>
      <x:c r="F15" s="57" t="n">
        <x:v>2026</x:v>
      </x:c>
      <x:c r="G15" s="57" t="str">
        <x:v>Revista De Administracao Publica</x:v>
      </x:c>
      <x:c r="H15" s="57" t="str">
        <x:v>scopus</x:v>
      </x:c>
      <x:c r="I15" s="57" t="str">
        <x:v>module_D_pt</x:v>
      </x:c>
      <x:c r="J15" s="57" t="str">
        <x:v>10.1590/0034-761220250224x</x:v>
      </x:c>
      <x:c r="K15" s="57" t="str">
        <x:v>https://api.elsevier.com/content/abstract/scopus_id/105034806404</x:v>
      </x:c>
      <x:c r="L15" s="57" t="str">
        <x:v>https://doi.org/10.1590/0034-761220250224x</x:v>
      </x:c>
      <x:c r="M15" s="57" t="str">
        <x:v>retrieved</x:v>
      </x:c>
      <x:c r="N15" s="57" t="str">
        <x:v>drive_open_access</x:v>
      </x:c>
      <x:c r="O15" s="57" t="str">
        <x:v>Google Drive OA folder; local extraction drive_16.txt</x:v>
      </x:c>
      <x:c r="P15" s="57" t="str">
        <x:v>passed</x:v>
      </x:c>
      <x:c r="Q15" s="57" t="str">
        <x:v>yes</x:v>
      </x:c>
      <x:c r="R15" s="57" t="str">
        <x:v>excluded_after_fulltext</x:v>
      </x:c>
      <x:c r="S15" s="57" t="str">
        <x:v>excluded</x:v>
      </x:c>
      <x:c r="T15" s="57" t="str">
        <x:v>EXC_WRONG_CONSTRUCT_OR_OUTCOME: El resultado principal es crecimiento económico, no erosión o calidad democrática.</x:v>
      </x:c>
      <x:c r="U15" s="57"/>
      <x:c r="V15" s="57"/>
      <x:c r="W15" s="57"/>
      <x:c r="X15" s="57"/>
      <x:c r="Y15" s="57"/>
      <x:c r="Z15" s="57"/>
      <x:c r="AA15" s="57"/>
      <x:c r="AB15" s="57" t="str">
        <x:v>none; bibliographic evidence does not modify model parameters automatically</x:v>
      </x:c>
      <x:c r="AC15" s="57" t="str">
        <x:v>Support corpus for an original article; not a systematic-review outcome.</x:v>
      </x:c>
    </x:row>
    <x:row r="16" ht="15" hidden="0" customHeight="1">
      <x:c r="A16" s="58" t="str">
        <x:v>R000575</x:v>
      </x:c>
      <x:c r="B16" s="58" t="n">
        <x:v>1</x:v>
      </x:c>
      <x:c r="C16" s="58" t="str">
        <x:v>provisional_include</x:v>
      </x:c>
      <x:c r="D16" s="58" t="str">
        <x:v>Toward a decolonial One Health: Findings from a participatory action research initiative with indigenous, Campesino, and Afro-descendant communities in the Amazon</x:v>
      </x:c>
      <x:c r="E16" s="58" t="str">
        <x:v>Méndez-Paz F.</x:v>
      </x:c>
      <x:c r="F16" s="58" t="n">
        <x:v>2026</x:v>
      </x:c>
      <x:c r="G16" s="58" t="str">
        <x:v>One Health</x:v>
      </x:c>
      <x:c r="H16" s="58" t="str">
        <x:v>scopus</x:v>
      </x:c>
      <x:c r="I16" s="58" t="str">
        <x:v>module_E_en</x:v>
      </x:c>
      <x:c r="J16" s="58" t="str">
        <x:v>10.1016/j.onehlt.2026.101476</x:v>
      </x:c>
      <x:c r="K16" s="58" t="str">
        <x:v>https://api.elsevier.com/content/abstract/scopus_id/105042569556</x:v>
      </x:c>
      <x:c r="L16" s="58" t="str">
        <x:v>https://doi.org/10.1016/j.onehlt.2026.101476</x:v>
      </x:c>
      <x:c r="M16" s="58" t="str">
        <x:v>retrieved</x:v>
      </x:c>
      <x:c r="N16" s="58" t="str">
        <x:v>drive_open_access</x:v>
      </x:c>
      <x:c r="O16" s="58" t="str">
        <x:v>Google Drive OA folder; local extraction drive_03.txt</x:v>
      </x:c>
      <x:c r="P16" s="58" t="str">
        <x:v>passed</x:v>
      </x:c>
      <x:c r="Q16" s="58" t="str">
        <x:v>yes</x:v>
      </x:c>
      <x:c r="R16" s="58" t="str">
        <x:v>excluded_after_fulltext</x:v>
      </x:c>
      <x:c r="S16" s="58" t="str">
        <x:v>excluded</x:v>
      </x:c>
      <x:c r="T16" s="58" t="str">
        <x:v>EXC_NO_DIRECT_CONTRIBUTION_TO_ORIGINAL_ARTICLE: El enfoque One Health no ofrece evidencia pertinente para el corpus del artículo.</x:v>
      </x:c>
      <x:c r="U16" s="58"/>
      <x:c r="V16" s="58"/>
      <x:c r="W16" s="58"/>
      <x:c r="X16" s="58"/>
      <x:c r="Y16" s="58"/>
      <x:c r="Z16" s="58"/>
      <x:c r="AA16" s="58"/>
      <x:c r="AB16" s="58" t="str">
        <x:v>none; bibliographic evidence does not modify model parameters automatically</x:v>
      </x:c>
      <x:c r="AC16" s="58" t="str">
        <x:v>Support corpus for an original article; not a systematic-review outcome.</x:v>
      </x:c>
    </x:row>
    <x:row r="17" ht="15" hidden="0" customHeight="1">
      <x:c r="A17" s="57" t="str">
        <x:v>R000593</x:v>
      </x:c>
      <x:c r="B17" s="57" t="n">
        <x:v>1</x:v>
      </x:c>
      <x:c r="C17" s="57" t="str">
        <x:v>provisional_include</x:v>
      </x:c>
      <x:c r="D17" s="57" t="str">
        <x:v>The Indigenous land titling trap: adaptive practices and the limits of climate governance</x:v>
      </x:c>
      <x:c r="E17" s="57" t="str">
        <x:v>Paredes M.</x:v>
      </x:c>
      <x:c r="F17" s="57" t="n">
        <x:v>2026</x:v>
      </x:c>
      <x:c r="G17" s="57" t="str">
        <x:v>World Development</x:v>
      </x:c>
      <x:c r="H17" s="57" t="str">
        <x:v>scopus</x:v>
      </x:c>
      <x:c r="I17" s="57" t="str">
        <x:v>module_E_en</x:v>
      </x:c>
      <x:c r="J17" s="57" t="str">
        <x:v>10.1016/j.worlddev.2026.107429</x:v>
      </x:c>
      <x:c r="K17" s="57" t="str">
        <x:v>https://api.elsevier.com/content/abstract/scopus_id/105036040644</x:v>
      </x:c>
      <x:c r="L17" s="57" t="str">
        <x:v>https://doi.org/10.1016/j.worlddev.2026.107429</x:v>
      </x:c>
      <x:c r="M17" s="57" t="str">
        <x:v>retrieved</x:v>
      </x:c>
      <x:c r="N17" s="57" t="str">
        <x:v>drive_open_access</x:v>
      </x:c>
      <x:c r="O17" s="57" t="str">
        <x:v>Google Drive OA folder; local extraction drive_04.txt</x:v>
      </x:c>
      <x:c r="P17" s="57" t="str">
        <x:v>passed</x:v>
      </x:c>
      <x:c r="Q17" s="57" t="str">
        <x:v>yes</x:v>
      </x:c>
      <x:c r="R17" s="57" t="str">
        <x:v>excluded_after_fulltext</x:v>
      </x:c>
      <x:c r="S17" s="57" t="str">
        <x:v>excluded</x:v>
      </x:c>
      <x:c r="T17" s="57" t="str">
        <x:v>EXC_NO_DIRECT_CONTRIBUTION_TO_ORIGINAL_ARTICLE: La titulación de tierras indígenas no se conecta de modo directo con los resultados analizados.</x:v>
      </x:c>
      <x:c r="U17" s="57"/>
      <x:c r="V17" s="57"/>
      <x:c r="W17" s="57"/>
      <x:c r="X17" s="57"/>
      <x:c r="Y17" s="57"/>
      <x:c r="Z17" s="57"/>
      <x:c r="AA17" s="57"/>
      <x:c r="AB17" s="57" t="str">
        <x:v>none; bibliographic evidence does not modify model parameters automatically</x:v>
      </x:c>
      <x:c r="AC17" s="57" t="str">
        <x:v>Support corpus for an original article; not a systematic-review outcome.</x:v>
      </x:c>
    </x:row>
    <x:row r="18" ht="15" hidden="0" customHeight="1">
      <x:c r="A18" s="58" t="str">
        <x:v>R000299</x:v>
      </x:c>
      <x:c r="B18" s="58" t="n">
        <x:v>2</x:v>
      </x:c>
      <x:c r="C18" s="58" t="str">
        <x:v>uncertain</x:v>
      </x:c>
      <x:c r="D18" s="58" t="str">
        <x:v>Derecho electoral municipal: un análisis sociológico de su variación en el Perú 1980-2002</x:v>
      </x:c>
      <x:c r="E18" s="58" t="str">
        <x:v>Vargas León, Carlos</x:v>
      </x:c>
      <x:c r="F18" s="58" t="n">
        <x:v>2002</x:v>
      </x:c>
      <x:c r="G18" s="58"/>
      <x:c r="H18" s="58" t="str">
        <x:v>core</x:v>
      </x:c>
      <x:c r="I18" s="58" t="str">
        <x:v>module_E_es</x:v>
      </x:c>
      <x:c r="J18" s="58" t="str">
        <x:v>10.53557/elecciones.2002.v1n1.03</x:v>
      </x:c>
      <x:c r="K18" s="58" t="str">
        <x:v>https://core.ac.uk/download/517418424.pdf</x:v>
      </x:c>
      <x:c r="L18" s="58" t="str">
        <x:v>https://core.ac.uk/download/517418424.pdf</x:v>
      </x:c>
      <x:c r="M18" s="58" t="str">
        <x:v>retrieved</x:v>
      </x:c>
      <x:c r="N18" s="58" t="str">
        <x:v>legal_open_web</x:v>
      </x:c>
      <x:c r="O18" s="58" t="str">
        <x:v>ONPE_fulltext</x:v>
      </x:c>
      <x:c r="P18" s="58" t="str">
        <x:v>passed</x:v>
      </x:c>
      <x:c r="Q18" s="58" t="str">
        <x:v>yes</x:v>
      </x:c>
      <x:c r="R18" s="58" t="str">
        <x:v>excluded_after_fulltext</x:v>
      </x:c>
      <x:c r="S18" s="58" t="str">
        <x:v>excluded</x:v>
      </x:c>
      <x:c r="T18" s="58" t="str">
        <x:v>EXC_OUTSIDE_TEMPORAL_ANALYTIC_SCOPE: La evolución normativa municipal 1980–2002 queda fuera del periodo y no modifica la interpretación actual.</x:v>
      </x:c>
      <x:c r="U18" s="58"/>
      <x:c r="V18" s="58"/>
      <x:c r="W18" s="58"/>
      <x:c r="X18" s="58"/>
      <x:c r="Y18" s="58"/>
      <x:c r="Z18" s="58"/>
      <x:c r="AA18" s="58"/>
      <x:c r="AB18" s="58" t="str">
        <x:v>none; bibliographic evidence does not modify model parameters automatically</x:v>
      </x:c>
      <x:c r="AC18" s="58" t="str">
        <x:v>Support corpus for an original article; not a systematic-review outcome.</x:v>
      </x:c>
    </x:row>
  </x:sheetData>
  <x:mergeCells>
    <x:mergeCell ref="A1:AC1"/>
    <x:mergeCell ref="A2:AC2"/>
  </x:mergeCells>
  <x:pageMargins left="0.7" right="0.7" top="0.75" bottom="0.75" header="0.3" footer="0.3"/>
  <x:tableParts count="1">
    <x:tablePart xmlns:r="http://schemas.openxmlformats.org/officeDocument/2006/relationships" r:id="Ra418987dbc9e4abc"/>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38" hidden="0" customWidth="1"/>
    <x:col min="2" max="2" width="38" hidden="0" customWidth="1"/>
    <x:col min="3" max="3" width="38" hidden="0" customWidth="1"/>
    <x:col min="4" max="4" width="44" hidden="0" customWidth="1"/>
    <x:col min="5" max="5" width="44" hidden="0" customWidth="1"/>
    <x:col min="6" max="6" width="38" hidden="0" customWidth="1"/>
    <x:col min="7" max="7" width="38" hidden="0" customWidth="1"/>
    <x:col min="8" max="8" width="38" hidden="0" customWidth="1"/>
    <x:col min="9" max="9" width="38" hidden="0" customWidth="1"/>
    <x:col min="10" max="10" width="38" hidden="0" customWidth="1"/>
    <x:col min="11" max="11" width="44" hidden="0" customWidth="1"/>
    <x:col min="12" max="12" width="44" hidden="0" customWidth="1"/>
    <x:col min="13" max="13" width="38" hidden="0" customWidth="1"/>
    <x:col min="14" max="14" width="38" hidden="0" customWidth="1"/>
    <x:col min="15" max="15" width="44" hidden="0" customWidth="1"/>
    <x:col min="16" max="16" width="38" hidden="0" customWidth="1"/>
    <x:col min="17" max="17" width="38" hidden="0" customWidth="1"/>
    <x:col min="18" max="18" width="38" hidden="0" customWidth="1"/>
    <x:col min="19" max="19" width="38" hidden="0" customWidth="1"/>
    <x:col min="20" max="20" width="38" hidden="0" customWidth="1"/>
    <x:col min="21" max="21" width="38" hidden="0" customWidth="1"/>
    <x:col min="22" max="22" width="38" hidden="0" customWidth="1"/>
    <x:col min="23" max="23" width="38" hidden="0" customWidth="1"/>
    <x:col min="24" max="24" width="38" hidden="0" customWidth="1"/>
    <x:col min="25" max="25" width="38" hidden="0" customWidth="1"/>
    <x:col min="26" max="26" width="38" hidden="0" customWidth="1"/>
    <x:col min="27" max="27" width="38" hidden="0" customWidth="1"/>
    <x:col min="28" max="28" width="38" hidden="0" customWidth="1"/>
    <x:col min="29" max="29" width="38" hidden="0" customWidth="1"/>
  </x:cols>
  <x:sheetData>
    <x:row r="1" ht="19.200000762939453" hidden="0" customHeight="1">
      <x:c r="A1" s="3" t="str">
        <x:v>Informes no recuperados (n = 30)</x:v>
      </x:c>
      <x:c r="B1" s="3" t="str">
        <x:v>Informes no recuperados (n = 30)</x:v>
      </x:c>
      <x:c r="C1" s="3" t="str">
        <x:v>Informes no recuperados (n = 30)</x:v>
      </x:c>
      <x:c r="D1" s="3" t="str">
        <x:v>Informes no recuperados (n = 30)</x:v>
      </x:c>
      <x:c r="E1" s="3" t="str">
        <x:v>Informes no recuperados (n = 30)</x:v>
      </x:c>
      <x:c r="F1" s="3" t="str">
        <x:v>Informes no recuperados (n = 30)</x:v>
      </x:c>
      <x:c r="G1" s="3" t="str">
        <x:v>Informes no recuperados (n = 30)</x:v>
      </x:c>
      <x:c r="H1" s="3" t="str">
        <x:v>Informes no recuperados (n = 30)</x:v>
      </x:c>
      <x:c r="I1" s="3" t="str">
        <x:v>Informes no recuperados (n = 30)</x:v>
      </x:c>
      <x:c r="J1" s="3" t="str">
        <x:v>Informes no recuperados (n = 30)</x:v>
      </x:c>
      <x:c r="K1" s="3" t="str">
        <x:v>Informes no recuperados (n = 30)</x:v>
      </x:c>
      <x:c r="L1" s="3" t="str">
        <x:v>Informes no recuperados (n = 30)</x:v>
      </x:c>
      <x:c r="M1" s="3" t="str">
        <x:v>Informes no recuperados (n = 30)</x:v>
      </x:c>
      <x:c r="N1" s="3" t="str">
        <x:v>Informes no recuperados (n = 30)</x:v>
      </x:c>
      <x:c r="O1" s="3" t="str">
        <x:v>Informes no recuperados (n = 30)</x:v>
      </x:c>
      <x:c r="P1" s="3" t="str">
        <x:v>Informes no recuperados (n = 30)</x:v>
      </x:c>
      <x:c r="Q1" s="3" t="str">
        <x:v>Informes no recuperados (n = 30)</x:v>
      </x:c>
      <x:c r="R1" s="3" t="str">
        <x:v>Informes no recuperados (n = 30)</x:v>
      </x:c>
      <x:c r="S1" s="3" t="str">
        <x:v>Informes no recuperados (n = 30)</x:v>
      </x:c>
      <x:c r="T1" s="3" t="str">
        <x:v>Informes no recuperados (n = 30)</x:v>
      </x:c>
      <x:c r="U1" s="3" t="str">
        <x:v>Informes no recuperados (n = 30)</x:v>
      </x:c>
      <x:c r="V1" s="3" t="str">
        <x:v>Informes no recuperados (n = 30)</x:v>
      </x:c>
      <x:c r="W1" s="3" t="str">
        <x:v>Informes no recuperados (n = 30)</x:v>
      </x:c>
      <x:c r="X1" s="3" t="str">
        <x:v>Informes no recuperados (n = 30)</x:v>
      </x:c>
      <x:c r="Y1" s="3" t="str">
        <x:v>Informes no recuperados (n = 30)</x:v>
      </x:c>
      <x:c r="Z1" s="3" t="str">
        <x:v>Informes no recuperados (n = 30)</x:v>
      </x:c>
      <x:c r="AA1" s="3" t="str">
        <x:v>Informes no recuperados (n = 30)</x:v>
      </x:c>
      <x:c r="AB1" s="3" t="str">
        <x:v>Informes no recuperados (n = 30)</x:v>
      </x:c>
      <x:c r="AC1" s="3" t="str">
        <x:v>Informes no recuperados (n = 30)</x:v>
      </x:c>
    </x:row>
    <x:row r="2" ht="15" hidden="0" customHeight="1">
      <x:c r="A2" s="7" t="str">
        <x:v>Resumen o metadatos no se contabilizan como texto completo; se conserva la ruta y el motivo.</x:v>
      </x:c>
      <x:c r="B2" s="7" t="str">
        <x:v>Resumen o metadatos no se contabilizan como texto completo; se conserva la ruta y el motivo.</x:v>
      </x:c>
      <x:c r="C2" s="7" t="str">
        <x:v>Resumen o metadatos no se contabilizan como texto completo; se conserva la ruta y el motivo.</x:v>
      </x:c>
      <x:c r="D2" s="7" t="str">
        <x:v>Resumen o metadatos no se contabilizan como texto completo; se conserva la ruta y el motivo.</x:v>
      </x:c>
      <x:c r="E2" s="7" t="str">
        <x:v>Resumen o metadatos no se contabilizan como texto completo; se conserva la ruta y el motivo.</x:v>
      </x:c>
      <x:c r="F2" s="7" t="str">
        <x:v>Resumen o metadatos no se contabilizan como texto completo; se conserva la ruta y el motivo.</x:v>
      </x:c>
      <x:c r="G2" s="7" t="str">
        <x:v>Resumen o metadatos no se contabilizan como texto completo; se conserva la ruta y el motivo.</x:v>
      </x:c>
      <x:c r="H2" s="7" t="str">
        <x:v>Resumen o metadatos no se contabilizan como texto completo; se conserva la ruta y el motivo.</x:v>
      </x:c>
      <x:c r="I2" s="7" t="str">
        <x:v>Resumen o metadatos no se contabilizan como texto completo; se conserva la ruta y el motivo.</x:v>
      </x:c>
      <x:c r="J2" s="7" t="str">
        <x:v>Resumen o metadatos no se contabilizan como texto completo; se conserva la ruta y el motivo.</x:v>
      </x:c>
      <x:c r="K2" s="7" t="str">
        <x:v>Resumen o metadatos no se contabilizan como texto completo; se conserva la ruta y el motivo.</x:v>
      </x:c>
      <x:c r="L2" s="7" t="str">
        <x:v>Resumen o metadatos no se contabilizan como texto completo; se conserva la ruta y el motivo.</x:v>
      </x:c>
      <x:c r="M2" s="7" t="str">
        <x:v>Resumen o metadatos no se contabilizan como texto completo; se conserva la ruta y el motivo.</x:v>
      </x:c>
      <x:c r="N2" s="7" t="str">
        <x:v>Resumen o metadatos no se contabilizan como texto completo; se conserva la ruta y el motivo.</x:v>
      </x:c>
      <x:c r="O2" s="7" t="str">
        <x:v>Resumen o metadatos no se contabilizan como texto completo; se conserva la ruta y el motivo.</x:v>
      </x:c>
      <x:c r="P2" s="7" t="str">
        <x:v>Resumen o metadatos no se contabilizan como texto completo; se conserva la ruta y el motivo.</x:v>
      </x:c>
      <x:c r="Q2" s="7" t="str">
        <x:v>Resumen o metadatos no se contabilizan como texto completo; se conserva la ruta y el motivo.</x:v>
      </x:c>
      <x:c r="R2" s="7" t="str">
        <x:v>Resumen o metadatos no se contabilizan como texto completo; se conserva la ruta y el motivo.</x:v>
      </x:c>
      <x:c r="S2" s="7" t="str">
        <x:v>Resumen o metadatos no se contabilizan como texto completo; se conserva la ruta y el motivo.</x:v>
      </x:c>
      <x:c r="T2" s="7" t="str">
        <x:v>Resumen o metadatos no se contabilizan como texto completo; se conserva la ruta y el motivo.</x:v>
      </x:c>
      <x:c r="U2" s="7" t="str">
        <x:v>Resumen o metadatos no se contabilizan como texto completo; se conserva la ruta y el motivo.</x:v>
      </x:c>
      <x:c r="V2" s="7" t="str">
        <x:v>Resumen o metadatos no se contabilizan como texto completo; se conserva la ruta y el motivo.</x:v>
      </x:c>
      <x:c r="W2" s="7" t="str">
        <x:v>Resumen o metadatos no se contabilizan como texto completo; se conserva la ruta y el motivo.</x:v>
      </x:c>
      <x:c r="X2" s="7" t="str">
        <x:v>Resumen o metadatos no se contabilizan como texto completo; se conserva la ruta y el motivo.</x:v>
      </x:c>
      <x:c r="Y2" s="7" t="str">
        <x:v>Resumen o metadatos no se contabilizan como texto completo; se conserva la ruta y el motivo.</x:v>
      </x:c>
      <x:c r="Z2" s="7" t="str">
        <x:v>Resumen o metadatos no se contabilizan como texto completo; se conserva la ruta y el motivo.</x:v>
      </x:c>
      <x:c r="AA2" s="7" t="str">
        <x:v>Resumen o metadatos no se contabilizan como texto completo; se conserva la ruta y el motivo.</x:v>
      </x:c>
      <x:c r="AB2" s="7" t="str">
        <x:v>Resumen o metadatos no se contabilizan como texto completo; se conserva la ruta y el motivo.</x:v>
      </x:c>
      <x:c r="AC2" s="7" t="str">
        <x:v>Resumen o metadatos no se contabilizan como texto completo; se conserva la ruta y el motivo.</x:v>
      </x:c>
    </x:row>
    <x:row r="3" ht="15" hidden="0" customHeight="1">
      <x:c r="A3" s="8"/>
      <x:c r="B3" s="8"/>
      <x:c r="C3" s="8"/>
      <x:c r="D3" s="8"/>
      <x:c r="E3" s="8"/>
      <x:c r="F3" s="8"/>
      <x:c r="G3" s="8"/>
      <x:c r="H3" s="8"/>
      <x:c r="I3" s="8"/>
      <x:c r="J3" s="8"/>
      <x:c r="K3" s="8"/>
      <x:c r="L3" s="8"/>
      <x:c r="M3" s="8"/>
      <x:c r="N3" s="8"/>
      <x:c r="O3" s="8"/>
      <x:c r="P3" s="8"/>
      <x:c r="Q3" s="8"/>
      <x:c r="R3" s="8"/>
      <x:c r="S3" s="8"/>
      <x:c r="T3" s="8"/>
      <x:c r="U3" s="8"/>
      <x:c r="V3" s="8"/>
      <x:c r="W3" s="8"/>
      <x:c r="X3" s="8"/>
      <x:c r="Y3" s="8"/>
      <x:c r="Z3" s="8"/>
      <x:c r="AA3" s="8"/>
      <x:c r="AB3" s="8"/>
      <x:c r="AC3" s="8"/>
    </x:row>
    <x:row r="4"/>
    <x:row r="5" ht="15" hidden="0" customHeight="1">
      <x:c r="A5" s="14" t="str">
        <x:v>﻿record_id</x:v>
      </x:c>
      <x:c r="B5" s="14" t="str">
        <x:v>queue_priority</x:v>
      </x:c>
      <x:c r="C5" s="14" t="str">
        <x:v>title_abstract_status</x:v>
      </x:c>
      <x:c r="D5" s="14" t="str">
        <x:v>title</x:v>
      </x:c>
      <x:c r="E5" s="14" t="str">
        <x:v>authors</x:v>
      </x:c>
      <x:c r="F5" s="14" t="str">
        <x:v>year</x:v>
      </x:c>
      <x:c r="G5" s="14" t="str">
        <x:v>source</x:v>
      </x:c>
      <x:c r="H5" s="14" t="str">
        <x:v>database</x:v>
      </x:c>
      <x:c r="I5" s="14" t="str">
        <x:v>profile</x:v>
      </x:c>
      <x:c r="J5" s="14" t="str">
        <x:v>doi</x:v>
      </x:c>
      <x:c r="K5" s="14" t="str">
        <x:v>record_url</x:v>
      </x:c>
      <x:c r="L5" s="14" t="str">
        <x:v>fulltext_url</x:v>
      </x:c>
      <x:c r="M5" s="14" t="str">
        <x:v>retrieval_status</x:v>
      </x:c>
      <x:c r="N5" s="14" t="str">
        <x:v>access_route</x:v>
      </x:c>
      <x:c r="O5" s="14" t="str">
        <x:v>retrieval_evidence</x:v>
      </x:c>
      <x:c r="P5" s="14" t="str">
        <x:v>pdf_identity_gate</x:v>
      </x:c>
      <x:c r="Q5" s="14" t="str">
        <x:v>fulltext_assessed</x:v>
      </x:c>
      <x:c r="R5" s="14" t="str">
        <x:v>eligibility_status</x:v>
      </x:c>
      <x:c r="S5" s="14" t="str">
        <x:v>final_inclusion</x:v>
      </x:c>
      <x:c r="T5" s="14" t="str">
        <x:v>exclusion_reason</x:v>
      </x:c>
      <x:c r="U5" s="14" t="str">
        <x:v>appraisal_tool</x:v>
      </x:c>
      <x:c r="V5" s="14" t="str">
        <x:v>appraisal_rating</x:v>
      </x:c>
      <x:c r="W5" s="14" t="str">
        <x:v>article_section</x:v>
      </x:c>
      <x:c r="X5" s="14" t="str">
        <x:v>evidence_role</x:v>
      </x:c>
      <x:c r="Y5" s="14" t="str">
        <x:v>democracy_dimension</x:v>
      </x:c>
      <x:c r="Z5" s="14" t="str">
        <x:v>scenario_link</x:v>
      </x:c>
      <x:c r="AA5" s="14" t="str">
        <x:v>claim_supported</x:v>
      </x:c>
      <x:c r="AB5" s="14" t="str">
        <x:v>parameter_effect</x:v>
      </x:c>
      <x:c r="AC5" s="14" t="str">
        <x:v>review_note</x:v>
      </x:c>
    </x:row>
    <x:row r="6" ht="15" hidden="0" customHeight="1">
      <x:c r="A6" s="58" t="str">
        <x:v>R000048</x:v>
      </x:c>
      <x:c r="B6" s="58" t="n">
        <x:v>1</x:v>
      </x:c>
      <x:c r="C6" s="58" t="str">
        <x:v>provisional_include</x:v>
      </x:c>
      <x:c r="D6" s="58" t="str">
        <x:v>Peru: democratic advances and democratic backsliding amid formidable challenges</x:v>
      </x:c>
      <x:c r="E6" s="58" t="str">
        <x:v>Cynthia McClintock</x:v>
      </x:c>
      <x:c r="F6" s="58" t="n">
        <x:v>2026</x:v>
      </x:c>
      <x:c r="G6" s="58" t="str">
        <x:v>Handbook of Latin American Politics</x:v>
      </x:c>
      <x:c r="H6" s="58" t="str">
        <x:v>crossref</x:v>
      </x:c>
      <x:c r="I6" s="58" t="str">
        <x:v>module_A_en</x:v>
      </x:c>
      <x:c r="J6" s="58" t="str">
        <x:v>10.4337/9781035325559.00083</x:v>
      </x:c>
      <x:c r="K6" s="58" t="str">
        <x:v>https://doi.org/10.4337/9781035325559.00083</x:v>
      </x:c>
      <x:c r="L6" s="58" t="str">
        <x:v>https://doi.org/10.4337/9781035325559.00083</x:v>
      </x:c>
      <x:c r="M6" s="58" t="str">
        <x:v>not_retrieved</x:v>
      </x:c>
      <x:c r="N6" s="58" t="str">
        <x:v>abstract_or_metadata_only</x:v>
      </x:c>
      <x:c r="O6" s="58" t="str">
        <x:v>Resumen o metadatos localizados, pero el texto completo legal no estuvo disponible.</x:v>
      </x:c>
      <x:c r="P6" s="58" t="str">
        <x:v>not_applicable</x:v>
      </x:c>
      <x:c r="Q6" s="58" t="str">
        <x:v>no</x:v>
      </x:c>
      <x:c r="R6" s="58" t="str">
        <x:v>not_assessed_fulltext</x:v>
      </x:c>
      <x:c r="S6" s="58" t="str">
        <x:v>not_retrieved</x:v>
      </x:c>
      <x:c r="T6" s="58" t="str">
        <x:v>NR_FULLTEXT_UNAVAILABLE</x:v>
      </x:c>
      <x:c r="U6" s="58"/>
      <x:c r="V6" s="58"/>
      <x:c r="W6" s="58"/>
      <x:c r="X6" s="58"/>
      <x:c r="Y6" s="58"/>
      <x:c r="Z6" s="58"/>
      <x:c r="AA6" s="58"/>
      <x:c r="AB6" s="58" t="str">
        <x:v>none; bibliographic evidence does not modify model parameters automatically</x:v>
      </x:c>
      <x:c r="AC6" s="58" t="str">
        <x:v>Support corpus for an original article; not a systematic-review outcome.</x:v>
      </x:c>
    </x:row>
    <x:row r="7" ht="15" hidden="0" customHeight="1">
      <x:c r="A7" s="57" t="str">
        <x:v>R000127</x:v>
      </x:c>
      <x:c r="B7" s="57" t="n">
        <x:v>1</x:v>
      </x:c>
      <x:c r="C7" s="57" t="str">
        <x:v>provisional_include</x:v>
      </x:c>
      <x:c r="D7" s="57" t="str">
        <x:v>Foresight, scenarios and scenario planning</x:v>
      </x:c>
      <x:c r="E7" s="57"/>
      <x:c r="F7" s="57" t="n">
        <x:v>2008</x:v>
      </x:c>
      <x:c r="G7" s="57" t="str">
        <x:v>Foresight</x:v>
      </x:c>
      <x:c r="H7" s="57" t="str">
        <x:v>crossref</x:v>
      </x:c>
      <x:c r="I7" s="57" t="str">
        <x:v>module_D_en</x:v>
      </x:c>
      <x:c r="J7" s="57" t="str">
        <x:v>10.4324/9780203894156-13</x:v>
      </x:c>
      <x:c r="K7" s="57" t="str">
        <x:v>https://doi.org/10.4324/9780203894156-13</x:v>
      </x:c>
      <x:c r="L7" s="57" t="str">
        <x:v>https://doi.org/10.4324/9780203894156-13</x:v>
      </x:c>
      <x:c r="M7" s="57" t="str">
        <x:v>not_retrieved</x:v>
      </x:c>
      <x:c r="N7" s="57" t="str">
        <x:v>abstract_or_metadata_only</x:v>
      </x:c>
      <x:c r="O7" s="57" t="str">
        <x:v>Resumen o metadatos localizados, pero el texto completo legal no estuvo disponible.</x:v>
      </x:c>
      <x:c r="P7" s="57" t="str">
        <x:v>not_applicable</x:v>
      </x:c>
      <x:c r="Q7" s="57" t="str">
        <x:v>no</x:v>
      </x:c>
      <x:c r="R7" s="57" t="str">
        <x:v>not_assessed_fulltext</x:v>
      </x:c>
      <x:c r="S7" s="57" t="str">
        <x:v>not_retrieved</x:v>
      </x:c>
      <x:c r="T7" s="57" t="str">
        <x:v>NR_FULLTEXT_UNAVAILABLE</x:v>
      </x:c>
      <x:c r="U7" s="57"/>
      <x:c r="V7" s="57"/>
      <x:c r="W7" s="57"/>
      <x:c r="X7" s="57"/>
      <x:c r="Y7" s="57"/>
      <x:c r="Z7" s="57"/>
      <x:c r="AA7" s="57"/>
      <x:c r="AB7" s="57" t="str">
        <x:v>none; bibliographic evidence does not modify model parameters automatically</x:v>
      </x:c>
      <x:c r="AC7" s="57" t="str">
        <x:v>Support corpus for an original article; not a systematic-review outcome.</x:v>
      </x:c>
    </x:row>
    <x:row r="8" ht="15" hidden="0" customHeight="1">
      <x:c r="A8" s="58" t="str">
        <x:v>R000247</x:v>
      </x:c>
      <x:c r="B8" s="58" t="n">
        <x:v>1</x:v>
      </x:c>
      <x:c r="C8" s="58" t="str">
        <x:v>provisional_include</x:v>
      </x:c>
      <x:c r="D8" s="58" t="str">
        <x:v>Replication data for: The Democracy Cluster Classification Index</x:v>
      </x:c>
      <x:c r="E8" s="58" t="str">
        <x:v>Gugiu,  Mihaiela Ristei; Centellas, Miguel</x:v>
      </x:c>
      <x:c r="F8" s="58" t="n">
        <x:v>2013</x:v>
      </x:c>
      <x:c r="G8" s="58"/>
      <x:c r="H8" s="58" t="str">
        <x:v>core</x:v>
      </x:c>
      <x:c r="I8" s="58" t="str">
        <x:v>module_C_en</x:v>
      </x:c>
      <x:c r="J8" s="58" t="str">
        <x:v>10.7910/dvn/6uwauq</x:v>
      </x:c>
      <x:c r="K8" s="58" t="str">
        <x:v>https://core.ac.uk/download/268485845.pdf</x:v>
      </x:c>
      <x:c r="L8" s="58" t="str">
        <x:v>https://core.ac.uk/download/268485845.pdf</x:v>
      </x:c>
      <x:c r="M8" s="58" t="str">
        <x:v>not_retrieved</x:v>
      </x:c>
      <x:c r="N8" s="58" t="str">
        <x:v>unavailable</x:v>
      </x:c>
      <x:c r="O8" s="58" t="str">
        <x:v>No se obtuvo texto completo verificable mediante Drive, repositorio o editor de acceso abierto.</x:v>
      </x:c>
      <x:c r="P8" s="58" t="str">
        <x:v>not_applicable</x:v>
      </x:c>
      <x:c r="Q8" s="58" t="str">
        <x:v>no</x:v>
      </x:c>
      <x:c r="R8" s="58" t="str">
        <x:v>not_assessed_fulltext</x:v>
      </x:c>
      <x:c r="S8" s="58" t="str">
        <x:v>not_retrieved</x:v>
      </x:c>
      <x:c r="T8" s="58" t="str">
        <x:v>NR_FULLTEXT_UNAVAILABLE</x:v>
      </x:c>
      <x:c r="U8" s="58"/>
      <x:c r="V8" s="58"/>
      <x:c r="W8" s="58"/>
      <x:c r="X8" s="58"/>
      <x:c r="Y8" s="58"/>
      <x:c r="Z8" s="58"/>
      <x:c r="AA8" s="58"/>
      <x:c r="AB8" s="58" t="str">
        <x:v>none; bibliographic evidence does not modify model parameters automatically</x:v>
      </x:c>
      <x:c r="AC8" s="58" t="str">
        <x:v>Support corpus for an original article; not a systematic-review outcome.</x:v>
      </x:c>
    </x:row>
    <x:row r="9" ht="15" hidden="0" customHeight="1">
      <x:c r="A9" s="57" t="str">
        <x:v>R000251</x:v>
      </x:c>
      <x:c r="B9" s="57" t="n">
        <x:v>1</x:v>
      </x:c>
      <x:c r="C9" s="57" t="str">
        <x:v>provisional_include</x:v>
      </x:c>
      <x:c r="D9" s="57" t="str">
        <x:v>La democracia en perspectiva: consideraciones teóricas y análisis de casos</x:v>
      </x:c>
      <x:c r="E9" s="57" t="str">
        <x:v>Lopez Leyva, Miguel Armando; Labastida Martin del Campo, Julio; Castanos, Fernando</x:v>
      </x:c>
      <x:c r="F9" s="57" t="n">
        <x:v>2008</x:v>
      </x:c>
      <x:c r="G9" s="57"/>
      <x:c r="H9" s="57" t="str">
        <x:v>core</x:v>
      </x:c>
      <x:c r="I9" s="57" t="str">
        <x:v>module_C_es</x:v>
      </x:c>
      <x:c r="J9" s="57"/>
      <x:c r="K9" s="57" t="str">
        <x:v>https://core.ac.uk/download/79478659.pdf</x:v>
      </x:c>
      <x:c r="L9" s="57" t="str">
        <x:v>https://core.ac.uk/download/79478659.pdf</x:v>
      </x:c>
      <x:c r="M9" s="57" t="str">
        <x:v>not_retrieved</x:v>
      </x:c>
      <x:c r="N9" s="57" t="str">
        <x:v>unavailable</x:v>
      </x:c>
      <x:c r="O9" s="57" t="str">
        <x:v>No se obtuvo texto completo verificable mediante Drive, repositorio o editor de acceso abierto.</x:v>
      </x:c>
      <x:c r="P9" s="57" t="str">
        <x:v>not_applicable</x:v>
      </x:c>
      <x:c r="Q9" s="57" t="str">
        <x:v>no</x:v>
      </x:c>
      <x:c r="R9" s="57" t="str">
        <x:v>not_assessed_fulltext</x:v>
      </x:c>
      <x:c r="S9" s="57" t="str">
        <x:v>not_retrieved</x:v>
      </x:c>
      <x:c r="T9" s="57" t="str">
        <x:v>NR_FULLTEXT_UNAVAILABLE</x:v>
      </x:c>
      <x:c r="U9" s="57"/>
      <x:c r="V9" s="57"/>
      <x:c r="W9" s="57"/>
      <x:c r="X9" s="57"/>
      <x:c r="Y9" s="57"/>
      <x:c r="Z9" s="57"/>
      <x:c r="AA9" s="57"/>
      <x:c r="AB9" s="57" t="str">
        <x:v>none; bibliographic evidence does not modify model parameters automatically</x:v>
      </x:c>
      <x:c r="AC9" s="57" t="str">
        <x:v>Support corpus for an original article; not a systematic-review outcome.</x:v>
      </x:c>
    </x:row>
    <x:row r="10" ht="15" hidden="0" customHeight="1">
      <x:c r="A10" s="58" t="str">
        <x:v>R000252</x:v>
      </x:c>
      <x:c r="B10" s="58" t="n">
        <x:v>1</x:v>
      </x:c>
      <x:c r="C10" s="58" t="str">
        <x:v>provisional_include</x:v>
      </x:c>
      <x:c r="D10" s="58" t="str">
        <x:v>Da democracia representativa à democracia participativa: a auto-convocação popular, um mecanismo de aperfeiçoamento da representação política</x:v>
      </x:c>
      <x:c r="E10" s="58" t="str">
        <x:v>Carvalho, Kátia de</x:v>
      </x:c>
      <x:c r="F10" s="58" t="n">
        <x:v>2012</x:v>
      </x:c>
      <x:c r="G10" s="58"/>
      <x:c r="H10" s="58" t="str">
        <x:v>core</x:v>
      </x:c>
      <x:c r="I10" s="58" t="str">
        <x:v>module_C_es</x:v>
      </x:c>
      <x:c r="J10" s="58"/>
      <x:c r="K10" s="58" t="str">
        <x:v>https://core.ac.uk/download/30376264.pdf</x:v>
      </x:c>
      <x:c r="L10" s="58" t="str">
        <x:v>https://core.ac.uk/download/30376264.pdf</x:v>
      </x:c>
      <x:c r="M10" s="58" t="str">
        <x:v>not_retrieved</x:v>
      </x:c>
      <x:c r="N10" s="58" t="str">
        <x:v>unavailable</x:v>
      </x:c>
      <x:c r="O10" s="58" t="str">
        <x:v>No se obtuvo texto completo verificable mediante Drive, repositorio o editor de acceso abierto.</x:v>
      </x:c>
      <x:c r="P10" s="58" t="str">
        <x:v>not_applicable</x:v>
      </x:c>
      <x:c r="Q10" s="58" t="str">
        <x:v>no</x:v>
      </x:c>
      <x:c r="R10" s="58" t="str">
        <x:v>not_assessed_fulltext</x:v>
      </x:c>
      <x:c r="S10" s="58" t="str">
        <x:v>not_retrieved</x:v>
      </x:c>
      <x:c r="T10" s="58" t="str">
        <x:v>NR_FULLTEXT_UNAVAILABLE</x:v>
      </x:c>
      <x:c r="U10" s="58"/>
      <x:c r="V10" s="58"/>
      <x:c r="W10" s="58"/>
      <x:c r="X10" s="58"/>
      <x:c r="Y10" s="58"/>
      <x:c r="Z10" s="58"/>
      <x:c r="AA10" s="58"/>
      <x:c r="AB10" s="58" t="str">
        <x:v>none; bibliographic evidence does not modify model parameters automatically</x:v>
      </x:c>
      <x:c r="AC10" s="58" t="str">
        <x:v>Support corpus for an original article; not a systematic-review outcome.</x:v>
      </x:c>
    </x:row>
    <x:row r="11" ht="15" hidden="0" customHeight="1">
      <x:c r="A11" s="57" t="str">
        <x:v>R000273</x:v>
      </x:c>
      <x:c r="B11" s="57" t="n">
        <x:v>1</x:v>
      </x:c>
      <x:c r="C11" s="57" t="str">
        <x:v>provisional_include</x:v>
      </x:c>
      <x:c r="D11" s="57" t="str">
        <x:v>Método para a construção e análise de cenários prospectivos em planejamento educacional baseado na gestão do conhecimento</x:v>
      </x:c>
      <x:c r="E11" s="57" t="str">
        <x:v>Thiesen, Juares da Silva</x:v>
      </x:c>
      <x:c r="F11" s="57" t="n">
        <x:v>2012</x:v>
      </x:c>
      <x:c r="G11" s="57"/>
      <x:c r="H11" s="57" t="str">
        <x:v>core</x:v>
      </x:c>
      <x:c r="I11" s="57" t="str">
        <x:v>module_D_pt</x:v>
      </x:c>
      <x:c r="J11" s="57"/>
      <x:c r="K11" s="57" t="str">
        <x:v>https://core.ac.uk/download/30374115.pdf</x:v>
      </x:c>
      <x:c r="L11" s="57" t="str">
        <x:v>https://core.ac.uk/download/30374115.pdf</x:v>
      </x:c>
      <x:c r="M11" s="57" t="str">
        <x:v>not_retrieved</x:v>
      </x:c>
      <x:c r="N11" s="57" t="str">
        <x:v>unavailable</x:v>
      </x:c>
      <x:c r="O11" s="57" t="str">
        <x:v>No se obtuvo texto completo verificable mediante Drive, repositorio o editor de acceso abierto.</x:v>
      </x:c>
      <x:c r="P11" s="57" t="str">
        <x:v>not_applicable</x:v>
      </x:c>
      <x:c r="Q11" s="57" t="str">
        <x:v>no</x:v>
      </x:c>
      <x:c r="R11" s="57" t="str">
        <x:v>not_assessed_fulltext</x:v>
      </x:c>
      <x:c r="S11" s="57" t="str">
        <x:v>not_retrieved</x:v>
      </x:c>
      <x:c r="T11" s="57" t="str">
        <x:v>NR_FULLTEXT_UNAVAILABLE</x:v>
      </x:c>
      <x:c r="U11" s="57"/>
      <x:c r="V11" s="57"/>
      <x:c r="W11" s="57"/>
      <x:c r="X11" s="57"/>
      <x:c r="Y11" s="57"/>
      <x:c r="Z11" s="57"/>
      <x:c r="AA11" s="57"/>
      <x:c r="AB11" s="57" t="str">
        <x:v>none; bibliographic evidence does not modify model parameters automatically</x:v>
      </x:c>
      <x:c r="AC11" s="57" t="str">
        <x:v>Support corpus for an original article; not a systematic-review outcome.</x:v>
      </x:c>
    </x:row>
    <x:row r="12" ht="15" hidden="0" customHeight="1">
      <x:c r="A12" s="58" t="str">
        <x:v>R000283</x:v>
      </x:c>
      <x:c r="B12" s="58" t="n">
        <x:v>1</x:v>
      </x:c>
      <x:c r="C12" s="58" t="str">
        <x:v>provisional_include</x:v>
      </x:c>
      <x:c r="D12" s="58" t="str">
        <x:v>Métodos e Técnicas em Cenários Prospectivos</x:v>
      </x:c>
      <x:c r="E12" s="58" t="str">
        <x:v>Lapolli, Edis Mafra; Bernardes, José Francisco</x:v>
      </x:c>
      <x:c r="F12" s="58" t="n">
        <x:v>2006</x:v>
      </x:c>
      <x:c r="G12" s="58"/>
      <x:c r="H12" s="58" t="str">
        <x:v>core</x:v>
      </x:c>
      <x:c r="I12" s="58" t="str">
        <x:v>module_D_pt</x:v>
      </x:c>
      <x:c r="J12" s="58"/>
      <x:c r="K12" s="58" t="str">
        <x:v>https://core.ac.uk/download/30355814.pdf</x:v>
      </x:c>
      <x:c r="L12" s="58" t="str">
        <x:v>https://core.ac.uk/download/30355814.pdf</x:v>
      </x:c>
      <x:c r="M12" s="58" t="str">
        <x:v>not_retrieved</x:v>
      </x:c>
      <x:c r="N12" s="58" t="str">
        <x:v>unavailable</x:v>
      </x:c>
      <x:c r="O12" s="58" t="str">
        <x:v>No se obtuvo texto completo verificable mediante Drive, repositorio o editor de acceso abierto.</x:v>
      </x:c>
      <x:c r="P12" s="58" t="str">
        <x:v>not_applicable</x:v>
      </x:c>
      <x:c r="Q12" s="58" t="str">
        <x:v>no</x:v>
      </x:c>
      <x:c r="R12" s="58" t="str">
        <x:v>not_assessed_fulltext</x:v>
      </x:c>
      <x:c r="S12" s="58" t="str">
        <x:v>not_retrieved</x:v>
      </x:c>
      <x:c r="T12" s="58" t="str">
        <x:v>NR_FULLTEXT_UNAVAILABLE</x:v>
      </x:c>
      <x:c r="U12" s="58"/>
      <x:c r="V12" s="58"/>
      <x:c r="W12" s="58"/>
      <x:c r="X12" s="58"/>
      <x:c r="Y12" s="58"/>
      <x:c r="Z12" s="58"/>
      <x:c r="AA12" s="58"/>
      <x:c r="AB12" s="58" t="str">
        <x:v>none; bibliographic evidence does not modify model parameters automatically</x:v>
      </x:c>
      <x:c r="AC12" s="58" t="str">
        <x:v>Support corpus for an original article; not a systematic-review outcome.</x:v>
      </x:c>
    </x:row>
    <x:row r="13" ht="15" hidden="0" customHeight="1">
      <x:c r="A13" s="57" t="str">
        <x:v>R000348</x:v>
      </x:c>
      <x:c r="B13" s="57" t="n">
        <x:v>1</x:v>
      </x:c>
      <x:c r="C13" s="57" t="str">
        <x:v>provisional_include</x:v>
      </x:c>
      <x:c r="D13" s="57" t="str">
        <x:v>The Appeal of the Bukele Regime in Latin America: The Scope and Limits of Citizen Support</x:v>
      </x:c>
      <x:c r="E13" s="57" t="str">
        <x:v>Rosen J.D.</x:v>
      </x:c>
      <x:c r="F13" s="57" t="n">
        <x:v>2026</x:v>
      </x:c>
      <x:c r="G13" s="57" t="str">
        <x:v>Latin American Policy</x:v>
      </x:c>
      <x:c r="H13" s="57" t="str">
        <x:v>scopus</x:v>
      </x:c>
      <x:c r="I13" s="57" t="str">
        <x:v>module_A_en</x:v>
      </x:c>
      <x:c r="J13" s="57" t="str">
        <x:v>10.1111/lamp.70069</x:v>
      </x:c>
      <x:c r="K13" s="57" t="str">
        <x:v>https://api.elsevier.com/content/abstract/scopus_id/105046833808</x:v>
      </x:c>
      <x:c r="L13" s="57" t="str">
        <x:v>https://doi.org/10.1111/lamp.70069</x:v>
      </x:c>
      <x:c r="M13" s="57" t="str">
        <x:v>not_retrieved</x:v>
      </x:c>
      <x:c r="N13" s="57" t="str">
        <x:v>abstract_or_metadata_only</x:v>
      </x:c>
      <x:c r="O13" s="57" t="str">
        <x:v>Resumen o metadatos localizados, pero el texto completo legal no estuvo disponible.</x:v>
      </x:c>
      <x:c r="P13" s="57" t="str">
        <x:v>not_applicable</x:v>
      </x:c>
      <x:c r="Q13" s="57" t="str">
        <x:v>no</x:v>
      </x:c>
      <x:c r="R13" s="57" t="str">
        <x:v>not_assessed_fulltext</x:v>
      </x:c>
      <x:c r="S13" s="57" t="str">
        <x:v>not_retrieved</x:v>
      </x:c>
      <x:c r="T13" s="57" t="str">
        <x:v>NR_FULLTEXT_UNAVAILABLE</x:v>
      </x:c>
      <x:c r="U13" s="57"/>
      <x:c r="V13" s="57"/>
      <x:c r="W13" s="57"/>
      <x:c r="X13" s="57"/>
      <x:c r="Y13" s="57"/>
      <x:c r="Z13" s="57"/>
      <x:c r="AA13" s="57"/>
      <x:c r="AB13" s="57" t="str">
        <x:v>none; bibliographic evidence does not modify model parameters automatically</x:v>
      </x:c>
      <x:c r="AC13" s="57" t="str">
        <x:v>Support corpus for an original article; not a systematic-review outcome.</x:v>
      </x:c>
    </x:row>
    <x:row r="14" ht="15" hidden="0" customHeight="1">
      <x:c r="A14" s="58" t="str">
        <x:v>R000358</x:v>
      </x:c>
      <x:c r="B14" s="58" t="n">
        <x:v>1</x:v>
      </x:c>
      <x:c r="C14" s="58" t="str">
        <x:v>provisional_include</x:v>
      </x:c>
      <x:c r="D14" s="58" t="str">
        <x:v>Why resistance fails: unpopular legislative autocratization and opposition weakness in Peru</x:v>
      </x:c>
      <x:c r="E14" s="58" t="str">
        <x:v>Coronel O.</x:v>
      </x:c>
      <x:c r="F14" s="58" t="n">
        <x:v>2026</x:v>
      </x:c>
      <x:c r="G14" s="58" t="str">
        <x:v>Democratization</x:v>
      </x:c>
      <x:c r="H14" s="58" t="str">
        <x:v>scopus</x:v>
      </x:c>
      <x:c r="I14" s="58" t="str">
        <x:v>module_A_en</x:v>
      </x:c>
      <x:c r="J14" s="58" t="str">
        <x:v>10.1080/13510347.2026.2650393</x:v>
      </x:c>
      <x:c r="K14" s="58" t="str">
        <x:v>https://api.elsevier.com/content/abstract/scopus_id/105035774449</x:v>
      </x:c>
      <x:c r="L14" s="58" t="str">
        <x:v>https://doi.org/10.1080/13510347.2026.2650393</x:v>
      </x:c>
      <x:c r="M14" s="58" t="str">
        <x:v>not_retrieved</x:v>
      </x:c>
      <x:c r="N14" s="58" t="str">
        <x:v>abstract_or_metadata_only</x:v>
      </x:c>
      <x:c r="O14" s="58" t="str">
        <x:v>Resumen o metadatos localizados, pero el texto completo legal no estuvo disponible.</x:v>
      </x:c>
      <x:c r="P14" s="58" t="str">
        <x:v>not_applicable</x:v>
      </x:c>
      <x:c r="Q14" s="58" t="str">
        <x:v>no</x:v>
      </x:c>
      <x:c r="R14" s="58" t="str">
        <x:v>not_assessed_fulltext</x:v>
      </x:c>
      <x:c r="S14" s="58" t="str">
        <x:v>not_retrieved</x:v>
      </x:c>
      <x:c r="T14" s="58" t="str">
        <x:v>NR_FULLTEXT_UNAVAILABLE</x:v>
      </x:c>
      <x:c r="U14" s="58"/>
      <x:c r="V14" s="58"/>
      <x:c r="W14" s="58"/>
      <x:c r="X14" s="58"/>
      <x:c r="Y14" s="58"/>
      <x:c r="Z14" s="58"/>
      <x:c r="AA14" s="58"/>
      <x:c r="AB14" s="58" t="str">
        <x:v>none; bibliographic evidence does not modify model parameters automatically</x:v>
      </x:c>
      <x:c r="AC14" s="58" t="str">
        <x:v>Support corpus for an original article; not a systematic-review outcome.</x:v>
      </x:c>
    </x:row>
    <x:row r="15" ht="15" hidden="0" customHeight="1">
      <x:c r="A15" s="57" t="str">
        <x:v>R000364</x:v>
      </x:c>
      <x:c r="B15" s="57" t="n">
        <x:v>1</x:v>
      </x:c>
      <x:c r="C15" s="57" t="str">
        <x:v>provisional_include</x:v>
      </x:c>
      <x:c r="D15" s="57" t="str">
        <x:v>The Power and Perils of Participatory Democracy: Participatory Budgeting and Democracy in Peru</x:v>
      </x:c>
      <x:c r="E15" s="57" t="str">
        <x:v>Abbott J.</x:v>
      </x:c>
      <x:c r="F15" s="57" t="n">
        <x:v>2026</x:v>
      </x:c>
      <x:c r="G15" s="57" t="str">
        <x:v>Power and Perils of Participatory Democracy Participatory Budgeting and Democracy in Peru</x:v>
      </x:c>
      <x:c r="H15" s="57" t="str">
        <x:v>scopus</x:v>
      </x:c>
      <x:c r="I15" s="57" t="str">
        <x:v>module_A_en</x:v>
      </x:c>
      <x:c r="J15" s="57" t="str">
        <x:v>10.1093/9780198948735.001.0001</x:v>
      </x:c>
      <x:c r="K15" s="57" t="str">
        <x:v>https://api.elsevier.com/content/abstract/scopus_id/105035037406</x:v>
      </x:c>
      <x:c r="L15" s="57" t="str">
        <x:v>https://doi.org/10.1093/9780198948735.001.0001</x:v>
      </x:c>
      <x:c r="M15" s="57" t="str">
        <x:v>not_retrieved</x:v>
      </x:c>
      <x:c r="N15" s="57" t="str">
        <x:v>unavailable</x:v>
      </x:c>
      <x:c r="O15" s="57" t="str">
        <x:v>No se obtuvo texto completo verificable mediante Drive, repositorio o editor de acceso abierto.</x:v>
      </x:c>
      <x:c r="P15" s="57" t="str">
        <x:v>not_applicable</x:v>
      </x:c>
      <x:c r="Q15" s="57" t="str">
        <x:v>no</x:v>
      </x:c>
      <x:c r="R15" s="57" t="str">
        <x:v>not_assessed_fulltext</x:v>
      </x:c>
      <x:c r="S15" s="57" t="str">
        <x:v>not_retrieved</x:v>
      </x:c>
      <x:c r="T15" s="57" t="str">
        <x:v>NR_FULLTEXT_UNAVAILABLE</x:v>
      </x:c>
      <x:c r="U15" s="57"/>
      <x:c r="V15" s="57"/>
      <x:c r="W15" s="57"/>
      <x:c r="X15" s="57"/>
      <x:c r="Y15" s="57"/>
      <x:c r="Z15" s="57"/>
      <x:c r="AA15" s="57"/>
      <x:c r="AB15" s="57" t="str">
        <x:v>none; bibliographic evidence does not modify model parameters automatically</x:v>
      </x:c>
      <x:c r="AC15" s="57" t="str">
        <x:v>Support corpus for an original article; not a systematic-review outcome.</x:v>
      </x:c>
    </x:row>
    <x:row r="16" ht="15" hidden="0" customHeight="1">
      <x:c r="A16" s="58" t="str">
        <x:v>R000418</x:v>
      </x:c>
      <x:c r="B16" s="58" t="n">
        <x:v>1</x:v>
      </x:c>
      <x:c r="C16" s="58" t="str">
        <x:v>provisional_include</x:v>
      </x:c>
      <x:c r="D16" s="58" t="str">
        <x:v>Asylum seekers’ response to political risk in their countries of origin: New evidence for asylum inflows to the OECD</x:v>
      </x:c>
      <x:c r="E16" s="58" t="str">
        <x:v>Nowak-Lehmann F.</x:v>
      </x:c>
      <x:c r="F16" s="58" t="n">
        <x:v>2026</x:v>
      </x:c>
      <x:c r="G16" s="58" t="str">
        <x:v>Migration Studies</x:v>
      </x:c>
      <x:c r="H16" s="58" t="str">
        <x:v>scopus</x:v>
      </x:c>
      <x:c r="I16" s="58" t="str">
        <x:v>module_B_en</x:v>
      </x:c>
      <x:c r="J16" s="58" t="str">
        <x:v>10.1093/migration/mnag032</x:v>
      </x:c>
      <x:c r="K16" s="58" t="str">
        <x:v>https://api.elsevier.com/content/abstract/scopus_id/105043862811</x:v>
      </x:c>
      <x:c r="L16" s="58" t="str">
        <x:v>https://doi.org/10.1093/migration/mnag032</x:v>
      </x:c>
      <x:c r="M16" s="58" t="str">
        <x:v>not_retrieved</x:v>
      </x:c>
      <x:c r="N16" s="58" t="str">
        <x:v>unavailable</x:v>
      </x:c>
      <x:c r="O16" s="58" t="str">
        <x:v>No se obtuvo texto completo verificable mediante Drive, repositorio o editor de acceso abierto.</x:v>
      </x:c>
      <x:c r="P16" s="58" t="str">
        <x:v>not_applicable</x:v>
      </x:c>
      <x:c r="Q16" s="58" t="str">
        <x:v>no</x:v>
      </x:c>
      <x:c r="R16" s="58" t="str">
        <x:v>not_assessed_fulltext</x:v>
      </x:c>
      <x:c r="S16" s="58" t="str">
        <x:v>not_retrieved</x:v>
      </x:c>
      <x:c r="T16" s="58" t="str">
        <x:v>NR_FULLTEXT_UNAVAILABLE</x:v>
      </x:c>
      <x:c r="U16" s="58"/>
      <x:c r="V16" s="58"/>
      <x:c r="W16" s="58"/>
      <x:c r="X16" s="58"/>
      <x:c r="Y16" s="58"/>
      <x:c r="Z16" s="58"/>
      <x:c r="AA16" s="58"/>
      <x:c r="AB16" s="58" t="str">
        <x:v>none; bibliographic evidence does not modify model parameters automatically</x:v>
      </x:c>
      <x:c r="AC16" s="58" t="str">
        <x:v>Support corpus for an original article; not a systematic-review outcome.</x:v>
      </x:c>
    </x:row>
    <x:row r="17" ht="15" hidden="0" customHeight="1">
      <x:c r="A17" s="57" t="str">
        <x:v>R000432</x:v>
      </x:c>
      <x:c r="B17" s="57" t="n">
        <x:v>1</x:v>
      </x:c>
      <x:c r="C17" s="57" t="str">
        <x:v>provisional_include</x:v>
      </x:c>
      <x:c r="D17" s="57" t="str">
        <x:v>The Override of Presidential Vetoes by the Peruvian Congress: Using Comparative Law to Derive a Proposal for Solving a Domestic Problem</x:v>
      </x:c>
      <x:c r="E17" s="57" t="str">
        <x:v>Fuentes J.A.</x:v>
      </x:c>
      <x:c r="F17" s="57" t="n">
        <x:v>2026</x:v>
      </x:c>
      <x:c r="G17" s="57" t="str">
        <x:v>International Journal of Legal Information</x:v>
      </x:c>
      <x:c r="H17" s="57" t="str">
        <x:v>scopus</x:v>
      </x:c>
      <x:c r="I17" s="57" t="str">
        <x:v>module_B_en</x:v>
      </x:c>
      <x:c r="J17" s="57" t="str">
        <x:v>10.1515/ijli-2026-0001</x:v>
      </x:c>
      <x:c r="K17" s="57" t="str">
        <x:v>https://api.elsevier.com/content/abstract/scopus_id/105038644144</x:v>
      </x:c>
      <x:c r="L17" s="57" t="str">
        <x:v>https://doi.org/10.1515/ijli-2026-0001</x:v>
      </x:c>
      <x:c r="M17" s="57" t="str">
        <x:v>not_retrieved</x:v>
      </x:c>
      <x:c r="N17" s="57" t="str">
        <x:v>abstract_or_metadata_only</x:v>
      </x:c>
      <x:c r="O17" s="57" t="str">
        <x:v>Resumen o metadatos localizados, pero el texto completo legal no estuvo disponible.</x:v>
      </x:c>
      <x:c r="P17" s="57" t="str">
        <x:v>not_applicable</x:v>
      </x:c>
      <x:c r="Q17" s="57" t="str">
        <x:v>no</x:v>
      </x:c>
      <x:c r="R17" s="57" t="str">
        <x:v>not_assessed_fulltext</x:v>
      </x:c>
      <x:c r="S17" s="57" t="str">
        <x:v>not_retrieved</x:v>
      </x:c>
      <x:c r="T17" s="57" t="str">
        <x:v>NR_FULLTEXT_UNAVAILABLE</x:v>
      </x:c>
      <x:c r="U17" s="57"/>
      <x:c r="V17" s="57"/>
      <x:c r="W17" s="57"/>
      <x:c r="X17" s="57"/>
      <x:c r="Y17" s="57"/>
      <x:c r="Z17" s="57"/>
      <x:c r="AA17" s="57"/>
      <x:c r="AB17" s="57" t="str">
        <x:v>none; bibliographic evidence does not modify model parameters automatically</x:v>
      </x:c>
      <x:c r="AC17" s="57" t="str">
        <x:v>Support corpus for an original article; not a systematic-review outcome.</x:v>
      </x:c>
    </x:row>
    <x:row r="18" ht="15" hidden="0" customHeight="1">
      <x:c r="A18" s="58" t="str">
        <x:v>R000438</x:v>
      </x:c>
      <x:c r="B18" s="58" t="n">
        <x:v>1</x:v>
      </x:c>
      <x:c r="C18" s="58" t="str">
        <x:v>provisional_include</x:v>
      </x:c>
      <x:c r="D18" s="58" t="str">
        <x:v>Assessing Democratic Resilience in Latin America's AI Era: A Diagnostic Framework for Electoral Integrity Preparedness</x:v>
      </x:c>
      <x:c r="E18" s="58" t="str">
        <x:v>Rico Fontalvo H.</x:v>
      </x:c>
      <x:c r="F18" s="58" t="n">
        <x:v>2026</x:v>
      </x:c>
      <x:c r="G18" s="58" t="str">
        <x:v>Representation</x:v>
      </x:c>
      <x:c r="H18" s="58" t="str">
        <x:v>scopus</x:v>
      </x:c>
      <x:c r="I18" s="58" t="str">
        <x:v>module_B_en</x:v>
      </x:c>
      <x:c r="J18" s="58" t="str">
        <x:v>10.1080/00344893.2026.2614612</x:v>
      </x:c>
      <x:c r="K18" s="58" t="str">
        <x:v>https://api.elsevier.com/content/abstract/scopus_id/105028116489</x:v>
      </x:c>
      <x:c r="L18" s="58" t="str">
        <x:v>https://doi.org/10.1080/00344893.2026.2614612</x:v>
      </x:c>
      <x:c r="M18" s="58" t="str">
        <x:v>not_retrieved</x:v>
      </x:c>
      <x:c r="N18" s="58" t="str">
        <x:v>abstract_or_metadata_only</x:v>
      </x:c>
      <x:c r="O18" s="58" t="str">
        <x:v>Resumen o metadatos localizados, pero el texto completo legal no estuvo disponible.</x:v>
      </x:c>
      <x:c r="P18" s="58" t="str">
        <x:v>not_applicable</x:v>
      </x:c>
      <x:c r="Q18" s="58" t="str">
        <x:v>no</x:v>
      </x:c>
      <x:c r="R18" s="58" t="str">
        <x:v>not_assessed_fulltext</x:v>
      </x:c>
      <x:c r="S18" s="58" t="str">
        <x:v>not_retrieved</x:v>
      </x:c>
      <x:c r="T18" s="58" t="str">
        <x:v>NR_FULLTEXT_UNAVAILABLE</x:v>
      </x:c>
      <x:c r="U18" s="58"/>
      <x:c r="V18" s="58"/>
      <x:c r="W18" s="58"/>
      <x:c r="X18" s="58"/>
      <x:c r="Y18" s="58"/>
      <x:c r="Z18" s="58"/>
      <x:c r="AA18" s="58"/>
      <x:c r="AB18" s="58" t="str">
        <x:v>none; bibliographic evidence does not modify model parameters automatically</x:v>
      </x:c>
      <x:c r="AC18" s="58" t="str">
        <x:v>Support corpus for an original article; not a systematic-review outcome.</x:v>
      </x:c>
    </x:row>
    <x:row r="19" ht="15" hidden="0" customHeight="1">
      <x:c r="A19" s="57" t="str">
        <x:v>R000535</x:v>
      </x:c>
      <x:c r="B19" s="57" t="n">
        <x:v>1</x:v>
      </x:c>
      <x:c r="C19" s="57" t="str">
        <x:v>provisional_include</x:v>
      </x:c>
      <x:c r="D19" s="57" t="str">
        <x:v>Elite cohesion and policy consensus: Technocrats and politicians in Chile and Uruguay’s economic policy networks (2003–2012)</x:v>
      </x:c>
      <x:c r="E19" s="57" t="str">
        <x:v>Garrido-Vergara L.</x:v>
      </x:c>
      <x:c r="F19" s="57" t="n">
        <x:v>2026</x:v>
      </x:c>
      <x:c r="G19" s="57" t="str">
        <x:v>International Journal of Comparative Sociology</x:v>
      </x:c>
      <x:c r="H19" s="57" t="str">
        <x:v>scopus</x:v>
      </x:c>
      <x:c r="I19" s="57" t="str">
        <x:v>module_D_es</x:v>
      </x:c>
      <x:c r="J19" s="57" t="str">
        <x:v>10.1177/00207152251358850</x:v>
      </x:c>
      <x:c r="K19" s="57" t="str">
        <x:v>https://api.elsevier.com/content/abstract/scopus_id/105024680025</x:v>
      </x:c>
      <x:c r="L19" s="57" t="str">
        <x:v>https://doi.org/10.1177/00207152251358850</x:v>
      </x:c>
      <x:c r="M19" s="57" t="str">
        <x:v>not_retrieved</x:v>
      </x:c>
      <x:c r="N19" s="57" t="str">
        <x:v>unavailable</x:v>
      </x:c>
      <x:c r="O19" s="57" t="str">
        <x:v>No se obtuvo texto completo verificable mediante Drive, repositorio o editor de acceso abierto.</x:v>
      </x:c>
      <x:c r="P19" s="57" t="str">
        <x:v>not_applicable</x:v>
      </x:c>
      <x:c r="Q19" s="57" t="str">
        <x:v>no</x:v>
      </x:c>
      <x:c r="R19" s="57" t="str">
        <x:v>not_assessed_fulltext</x:v>
      </x:c>
      <x:c r="S19" s="57" t="str">
        <x:v>not_retrieved</x:v>
      </x:c>
      <x:c r="T19" s="57" t="str">
        <x:v>NR_FULLTEXT_UNAVAILABLE</x:v>
      </x:c>
      <x:c r="U19" s="57"/>
      <x:c r="V19" s="57"/>
      <x:c r="W19" s="57"/>
      <x:c r="X19" s="57"/>
      <x:c r="Y19" s="57"/>
      <x:c r="Z19" s="57"/>
      <x:c r="AA19" s="57"/>
      <x:c r="AB19" s="57" t="str">
        <x:v>none; bibliographic evidence does not modify model parameters automatically</x:v>
      </x:c>
      <x:c r="AC19" s="57" t="str">
        <x:v>Support corpus for an original article; not a systematic-review outcome.</x:v>
      </x:c>
    </x:row>
    <x:row r="20" ht="15" hidden="0" customHeight="1">
      <x:c r="A20" s="58" t="str">
        <x:v>R000569</x:v>
      </x:c>
      <x:c r="B20" s="58" t="n">
        <x:v>1</x:v>
      </x:c>
      <x:c r="C20" s="58" t="str">
        <x:v>provisional_include</x:v>
      </x:c>
      <x:c r="D20" s="58" t="str">
        <x:v>Participatory foresight in subnational policy processes: two experiences in Peru</x:v>
      </x:c>
      <x:c r="E20" s="58" t="str">
        <x:v>Alcalde G.</x:v>
      </x:c>
      <x:c r="F20" s="58" t="n">
        <x:v>2026</x:v>
      </x:c>
      <x:c r="G20" s="58" t="str">
        <x:v>Foresight</x:v>
      </x:c>
      <x:c r="H20" s="58" t="str">
        <x:v>scopus</x:v>
      </x:c>
      <x:c r="I20" s="58" t="str">
        <x:v>module_D_pt</x:v>
      </x:c>
      <x:c r="J20" s="58" t="str">
        <x:v>10.1108/fs-08-2025-0177</x:v>
      </x:c>
      <x:c r="K20" s="58" t="str">
        <x:v>https://api.elsevier.com/content/abstract/scopus_id/105037594457</x:v>
      </x:c>
      <x:c r="L20" s="58" t="str">
        <x:v>https://doi.org/10.1108/fs-08-2025-0177</x:v>
      </x:c>
      <x:c r="M20" s="58" t="str">
        <x:v>not_retrieved</x:v>
      </x:c>
      <x:c r="N20" s="58" t="str">
        <x:v>abstract_or_metadata_only</x:v>
      </x:c>
      <x:c r="O20" s="58" t="str">
        <x:v>Resumen o metadatos localizados, pero el texto completo legal no estuvo disponible.</x:v>
      </x:c>
      <x:c r="P20" s="58" t="str">
        <x:v>not_applicable</x:v>
      </x:c>
      <x:c r="Q20" s="58" t="str">
        <x:v>no</x:v>
      </x:c>
      <x:c r="R20" s="58" t="str">
        <x:v>not_assessed_fulltext</x:v>
      </x:c>
      <x:c r="S20" s="58" t="str">
        <x:v>not_retrieved</x:v>
      </x:c>
      <x:c r="T20" s="58" t="str">
        <x:v>NR_FULLTEXT_UNAVAILABLE</x:v>
      </x:c>
      <x:c r="U20" s="58"/>
      <x:c r="V20" s="58"/>
      <x:c r="W20" s="58"/>
      <x:c r="X20" s="58"/>
      <x:c r="Y20" s="58"/>
      <x:c r="Z20" s="58"/>
      <x:c r="AA20" s="58"/>
      <x:c r="AB20" s="58" t="str">
        <x:v>none; bibliographic evidence does not modify model parameters automatically</x:v>
      </x:c>
      <x:c r="AC20" s="58" t="str">
        <x:v>Support corpus for an original article; not a systematic-review outcome.</x:v>
      </x:c>
    </x:row>
    <x:row r="21" ht="15" hidden="0" customHeight="1">
      <x:c r="A21" s="57" t="str">
        <x:v>R000079</x:v>
      </x:c>
      <x:c r="B21" s="57" t="n">
        <x:v>2</x:v>
      </x:c>
      <x:c r="C21" s="57" t="str">
        <x:v>uncertain</x:v>
      </x:c>
      <x:c r="D21" s="57" t="str">
        <x:v>Peru: Executive v Legislative Wars Amidst a Global Pandemic</x:v>
      </x:c>
      <x:c r="E21" s="57" t="str">
        <x:v>Trilce Valdivia</x:v>
      </x:c>
      <x:c r="F21" s="57" t="n">
        <x:v>2024</x:v>
      </x:c>
      <x:c r="G21" s="57" t="str">
        <x:v>Pandemocracy in Latin America</x:v>
      </x:c>
      <x:c r="H21" s="57" t="str">
        <x:v>crossref</x:v>
      </x:c>
      <x:c r="I21" s="57" t="str">
        <x:v>module_B_en</x:v>
      </x:c>
      <x:c r="J21" s="57" t="str">
        <x:v>10.5040/9781509965304.ch-007</x:v>
      </x:c>
      <x:c r="K21" s="57" t="str">
        <x:v>https://doi.org/10.5040/9781509965304.ch-007</x:v>
      </x:c>
      <x:c r="L21" s="57" t="str">
        <x:v>https://doi.org/10.5040/9781509965304.ch-007</x:v>
      </x:c>
      <x:c r="M21" s="57" t="str">
        <x:v>not_retrieved</x:v>
      </x:c>
      <x:c r="N21" s="57" t="str">
        <x:v>unavailable</x:v>
      </x:c>
      <x:c r="O21" s="57" t="str">
        <x:v>No se obtuvo texto completo verificable mediante Drive, repositorio o editor de acceso abierto.</x:v>
      </x:c>
      <x:c r="P21" s="57" t="str">
        <x:v>not_applicable</x:v>
      </x:c>
      <x:c r="Q21" s="57" t="str">
        <x:v>no</x:v>
      </x:c>
      <x:c r="R21" s="57" t="str">
        <x:v>not_assessed_fulltext</x:v>
      </x:c>
      <x:c r="S21" s="57" t="str">
        <x:v>not_retrieved</x:v>
      </x:c>
      <x:c r="T21" s="57" t="str">
        <x:v>NR_FULLTEXT_UNAVAILABLE</x:v>
      </x:c>
      <x:c r="U21" s="57"/>
      <x:c r="V21" s="57"/>
      <x:c r="W21" s="57"/>
      <x:c r="X21" s="57"/>
      <x:c r="Y21" s="57"/>
      <x:c r="Z21" s="57"/>
      <x:c r="AA21" s="57"/>
      <x:c r="AB21" s="57" t="str">
        <x:v>none; bibliographic evidence does not modify model parameters automatically</x:v>
      </x:c>
      <x:c r="AC21" s="57" t="str">
        <x:v>Support corpus for an original article; not a systematic-review outcome.</x:v>
      </x:c>
    </x:row>
    <x:row r="22" ht="15" hidden="0" customHeight="1">
      <x:c r="A22" s="58" t="str">
        <x:v>R000081</x:v>
      </x:c>
      <x:c r="B22" s="58" t="n">
        <x:v>2</x:v>
      </x:c>
      <x:c r="C22" s="58" t="str">
        <x:v>uncertain</x:v>
      </x:c>
      <x:c r="D22" s="58" t="str">
        <x:v>3 Peru</x:v>
      </x:c>
      <x:c r="E22" s="58"/>
      <x:c r="F22" s="58" t="n">
        <x:v>2024</x:v>
      </x:c>
      <x:c r="G22" s="58" t="str">
        <x:v>Why Presidents Fail</x:v>
      </x:c>
      <x:c r="H22" s="58" t="str">
        <x:v>crossref</x:v>
      </x:c>
      <x:c r="I22" s="58" t="str">
        <x:v>module_B_en</x:v>
      </x:c>
      <x:c r="J22" s="58" t="str">
        <x:v>10.1515/9781503639560-006</x:v>
      </x:c>
      <x:c r="K22" s="58" t="str">
        <x:v>https://doi.org/10.1515/9781503639560-006</x:v>
      </x:c>
      <x:c r="L22" s="58" t="str">
        <x:v>http://dx.doi.org/10.1515/9781503639560-006</x:v>
      </x:c>
      <x:c r="M22" s="58" t="str">
        <x:v>not_retrieved</x:v>
      </x:c>
      <x:c r="N22" s="58" t="str">
        <x:v>unavailable</x:v>
      </x:c>
      <x:c r="O22" s="58" t="str">
        <x:v>No se obtuvo texto completo verificable mediante Drive, repositorio o editor de acceso abierto.</x:v>
      </x:c>
      <x:c r="P22" s="58" t="str">
        <x:v>not_applicable</x:v>
      </x:c>
      <x:c r="Q22" s="58" t="str">
        <x:v>no</x:v>
      </x:c>
      <x:c r="R22" s="58" t="str">
        <x:v>not_assessed_fulltext</x:v>
      </x:c>
      <x:c r="S22" s="58" t="str">
        <x:v>not_retrieved</x:v>
      </x:c>
      <x:c r="T22" s="58" t="str">
        <x:v>NR_FULLTEXT_UNAVAILABLE</x:v>
      </x:c>
      <x:c r="U22" s="58"/>
      <x:c r="V22" s="58"/>
      <x:c r="W22" s="58"/>
      <x:c r="X22" s="58"/>
      <x:c r="Y22" s="58"/>
      <x:c r="Z22" s="58"/>
      <x:c r="AA22" s="58"/>
      <x:c r="AB22" s="58" t="str">
        <x:v>none; bibliographic evidence does not modify model parameters automatically</x:v>
      </x:c>
      <x:c r="AC22" s="58" t="str">
        <x:v>Support corpus for an original article; not a systematic-review outcome.</x:v>
      </x:c>
    </x:row>
    <x:row r="23" ht="15" hidden="0" customHeight="1">
      <x:c r="A23" s="57" t="str">
        <x:v>R000091</x:v>
      </x:c>
      <x:c r="B23" s="57" t="n">
        <x:v>2</x:v>
      </x:c>
      <x:c r="C23" s="57" t="str">
        <x:v>uncertain</x:v>
      </x:c>
      <x:c r="D23" s="57" t="str">
        <x:v>¿Participación ciudadana y cultura política en Colombia? Un contraste de las experiencias de la Asamblea Constituyente de Mogotes y del Proyecto Nasa del Cauca</x:v>
      </x:c>
      <x:c r="E23" s="57" t="str">
        <x:v>González Nidia Catherine</x:v>
      </x:c>
      <x:c r="F23" s="57" t="n">
        <x:v>2011</x:v>
      </x:c>
      <x:c r="G23" s="57" t="str">
        <x:v>Culturas políticas en la región andina</x:v>
      </x:c>
      <x:c r="H23" s="57" t="str">
        <x:v>crossref</x:v>
      </x:c>
      <x:c r="I23" s="57" t="str">
        <x:v>module_B_es</x:v>
      </x:c>
      <x:c r="J23" s="57" t="str">
        <x:v>10.31819/9783954871513-003</x:v>
      </x:c>
      <x:c r="K23" s="57" t="str">
        <x:v>https://doi.org/10.31819/9783954871513-003</x:v>
      </x:c>
      <x:c r="L23" s="57" t="str">
        <x:v>http://americanae.aecid.es/americanae/es/registros/registro.do?tipoRegistro=MTD&amp;idBib=1128835</x:v>
      </x:c>
      <x:c r="M23" s="57" t="str">
        <x:v>not_retrieved</x:v>
      </x:c>
      <x:c r="N23" s="57" t="str">
        <x:v>unavailable</x:v>
      </x:c>
      <x:c r="O23" s="57" t="str">
        <x:v>No se obtuvo texto completo verificable mediante Drive, repositorio o editor de acceso abierto.</x:v>
      </x:c>
      <x:c r="P23" s="57" t="str">
        <x:v>not_applicable</x:v>
      </x:c>
      <x:c r="Q23" s="57" t="str">
        <x:v>no</x:v>
      </x:c>
      <x:c r="R23" s="57" t="str">
        <x:v>not_assessed_fulltext</x:v>
      </x:c>
      <x:c r="S23" s="57" t="str">
        <x:v>not_retrieved</x:v>
      </x:c>
      <x:c r="T23" s="57" t="str">
        <x:v>NR_FULLTEXT_UNAVAILABLE</x:v>
      </x:c>
      <x:c r="U23" s="57"/>
      <x:c r="V23" s="57"/>
      <x:c r="W23" s="57"/>
      <x:c r="X23" s="57"/>
      <x:c r="Y23" s="57"/>
      <x:c r="Z23" s="57"/>
      <x:c r="AA23" s="57"/>
      <x:c r="AB23" s="57" t="str">
        <x:v>none; bibliographic evidence does not modify model parameters automatically</x:v>
      </x:c>
      <x:c r="AC23" s="57" t="str">
        <x:v>Support corpus for an original article; not a systematic-review outcome.</x:v>
      </x:c>
    </x:row>
    <x:row r="24" ht="15" hidden="0" customHeight="1">
      <x:c r="A24" s="58" t="str">
        <x:v>R000095</x:v>
      </x:c>
      <x:c r="B24" s="58" t="n">
        <x:v>2</x:v>
      </x:c>
      <x:c r="C24" s="58" t="str">
        <x:v>uncertain</x:v>
      </x:c>
      <x:c r="D24" s="58" t="str">
        <x:v>Política de vivienda, organización del espacio y participación ciudadana</x:v>
      </x:c>
      <x:c r="E24" s="58" t="str">
        <x:v>Martha Schteingart</x:v>
      </x:c>
      <x:c r="F24" s="58" t="n">
        <x:v>2019</x:v>
      </x:c>
      <x:c r="G24" s="58" t="str">
        <x:v>El derecho a la ciudad en América Latina</x:v>
      </x:c>
      <x:c r="H24" s="58" t="str">
        <x:v>crossref</x:v>
      </x:c>
      <x:c r="I24" s="58" t="str">
        <x:v>module_B_es</x:v>
      </x:c>
      <x:c r="J24" s="58" t="str">
        <x:v>10.2307/j.ctvt6rm0z.5</x:v>
      </x:c>
      <x:c r="K24" s="58" t="str">
        <x:v>https://doi.org/10.2307/j.ctvt6rm0z.5</x:v>
      </x:c>
      <x:c r="L24" s="58" t="str">
        <x:v>https://doi.org/10.2307/j.ctvt6rm0z.5</x:v>
      </x:c>
      <x:c r="M24" s="58" t="str">
        <x:v>not_retrieved</x:v>
      </x:c>
      <x:c r="N24" s="58" t="str">
        <x:v>unavailable</x:v>
      </x:c>
      <x:c r="O24" s="58" t="str">
        <x:v>No se obtuvo texto completo verificable mediante Drive, repositorio o editor de acceso abierto.</x:v>
      </x:c>
      <x:c r="P24" s="58" t="str">
        <x:v>not_applicable</x:v>
      </x:c>
      <x:c r="Q24" s="58" t="str">
        <x:v>no</x:v>
      </x:c>
      <x:c r="R24" s="58" t="str">
        <x:v>not_assessed_fulltext</x:v>
      </x:c>
      <x:c r="S24" s="58" t="str">
        <x:v>not_retrieved</x:v>
      </x:c>
      <x:c r="T24" s="58" t="str">
        <x:v>NR_FULLTEXT_UNAVAILABLE</x:v>
      </x:c>
      <x:c r="U24" s="58"/>
      <x:c r="V24" s="58"/>
      <x:c r="W24" s="58"/>
      <x:c r="X24" s="58"/>
      <x:c r="Y24" s="58"/>
      <x:c r="Z24" s="58"/>
      <x:c r="AA24" s="58"/>
      <x:c r="AB24" s="58" t="str">
        <x:v>none; bibliographic evidence does not modify model parameters automatically</x:v>
      </x:c>
      <x:c r="AC24" s="58" t="str">
        <x:v>Support corpus for an original article; not a systematic-review outcome.</x:v>
      </x:c>
    </x:row>
    <x:row r="25" ht="15" hidden="0" customHeight="1">
      <x:c r="A25" s="57" t="str">
        <x:v>R000111</x:v>
      </x:c>
      <x:c r="B25" s="57" t="n">
        <x:v>2</x:v>
      </x:c>
      <x:c r="C25" s="57" t="str">
        <x:v>uncertain</x:v>
      </x:c>
      <x:c r="D25" s="57" t="str">
        <x:v>ÍNDICE ANALÍTICO</x:v>
      </x:c>
      <x:c r="E25" s="57"/>
      <x:c r="F25" s="57" t="n">
        <x:v>2006</x:v>
      </x:c>
      <x:c r="G25" s="57" t="str">
        <x:v>La república deliberativa</x:v>
      </x:c>
      <x:c r="H25" s="57" t="str">
        <x:v>crossref</x:v>
      </x:c>
      <x:c r="I25" s="57" t="str">
        <x:v>module_C_es</x:v>
      </x:c>
      <x:c r="J25" s="57" t="str">
        <x:v>10.2307/jj.2321989.16</x:v>
      </x:c>
      <x:c r="K25" s="57" t="str">
        <x:v>https://doi.org/10.2307/jj.2321989.16</x:v>
      </x:c>
      <x:c r="L25" s="57" t="str">
        <x:v>http://doi.org/10.2307/jj.2321989.16</x:v>
      </x:c>
      <x:c r="M25" s="57" t="str">
        <x:v>not_retrieved</x:v>
      </x:c>
      <x:c r="N25" s="57" t="str">
        <x:v>unavailable</x:v>
      </x:c>
      <x:c r="O25" s="57" t="str">
        <x:v>No se obtuvo texto completo verificable mediante Drive, repositorio o editor de acceso abierto.</x:v>
      </x:c>
      <x:c r="P25" s="57" t="str">
        <x:v>not_applicable</x:v>
      </x:c>
      <x:c r="Q25" s="57" t="str">
        <x:v>no</x:v>
      </x:c>
      <x:c r="R25" s="57" t="str">
        <x:v>not_assessed_fulltext</x:v>
      </x:c>
      <x:c r="S25" s="57" t="str">
        <x:v>not_retrieved</x:v>
      </x:c>
      <x:c r="T25" s="57" t="str">
        <x:v>NR_FULLTEXT_UNAVAILABLE</x:v>
      </x:c>
      <x:c r="U25" s="57"/>
      <x:c r="V25" s="57"/>
      <x:c r="W25" s="57"/>
      <x:c r="X25" s="57"/>
      <x:c r="Y25" s="57"/>
      <x:c r="Z25" s="57"/>
      <x:c r="AA25" s="57"/>
      <x:c r="AB25" s="57" t="str">
        <x:v>none; bibliographic evidence does not modify model parameters automatically</x:v>
      </x:c>
      <x:c r="AC25" s="57" t="str">
        <x:v>Support corpus for an original article; not a systematic-review outcome.</x:v>
      </x:c>
    </x:row>
    <x:row r="26" ht="15" hidden="0" customHeight="1">
      <x:c r="A26" s="58" t="str">
        <x:v>R000113</x:v>
      </x:c>
      <x:c r="B26" s="58" t="n">
        <x:v>2</x:v>
      </x:c>
      <x:c r="C26" s="58" t="str">
        <x:v>uncertain</x:v>
      </x:c>
      <x:c r="D26" s="58" t="str">
        <x:v>ÍNDICE DE CASOS JUDICIALES</x:v>
      </x:c>
      <x:c r="E26" s="58"/>
      <x:c r="F26" s="58" t="n">
        <x:v>2016</x:v>
      </x:c>
      <x:c r="G26" s="58" t="str">
        <x:v>Precios de transferencia: análisis de la validez empírica de los métodos propuestos por la ocde para la eveluación del principio de plena competencia</x:v>
      </x:c>
      <x:c r="H26" s="58" t="str">
        <x:v>crossref</x:v>
      </x:c>
      <x:c r="I26" s="58" t="str">
        <x:v>module_C_es</x:v>
      </x:c>
      <x:c r="J26" s="58" t="str">
        <x:v>10.2307/j.ctv1503j4m.5</x:v>
      </x:c>
      <x:c r="K26" s="58" t="str">
        <x:v>https://doi.org/10.2307/j.ctv1503j4m.5</x:v>
      </x:c>
      <x:c r="L26" s="58" t="str">
        <x:v>https://doi.org/10.2307/j.ctv1503j4m.5</x:v>
      </x:c>
      <x:c r="M26" s="58" t="str">
        <x:v>not_retrieved</x:v>
      </x:c>
      <x:c r="N26" s="58" t="str">
        <x:v>unavailable</x:v>
      </x:c>
      <x:c r="O26" s="58" t="str">
        <x:v>No se obtuvo texto completo verificable mediante Drive, repositorio o editor de acceso abierto.</x:v>
      </x:c>
      <x:c r="P26" s="58" t="str">
        <x:v>not_applicable</x:v>
      </x:c>
      <x:c r="Q26" s="58" t="str">
        <x:v>no</x:v>
      </x:c>
      <x:c r="R26" s="58" t="str">
        <x:v>not_assessed_fulltext</x:v>
      </x:c>
      <x:c r="S26" s="58" t="str">
        <x:v>not_retrieved</x:v>
      </x:c>
      <x:c r="T26" s="58" t="str">
        <x:v>NR_FULLTEXT_UNAVAILABLE</x:v>
      </x:c>
      <x:c r="U26" s="58"/>
      <x:c r="V26" s="58"/>
      <x:c r="W26" s="58"/>
      <x:c r="X26" s="58"/>
      <x:c r="Y26" s="58"/>
      <x:c r="Z26" s="58"/>
      <x:c r="AA26" s="58"/>
      <x:c r="AB26" s="58" t="str">
        <x:v>none; bibliographic evidence does not modify model parameters automatically</x:v>
      </x:c>
      <x:c r="AC26" s="58" t="str">
        <x:v>Support corpus for an original article; not a systematic-review outcome.</x:v>
      </x:c>
    </x:row>
    <x:row r="27" ht="15" hidden="0" customHeight="1">
      <x:c r="A27" s="57" t="str">
        <x:v>R000124</x:v>
      </x:c>
      <x:c r="B27" s="57" t="n">
        <x:v>2</x:v>
      </x:c>
      <x:c r="C27" s="57" t="str">
        <x:v>uncertain</x:v>
      </x:c>
      <x:c r="D27" s="57" t="str">
        <x:v>The Monte Carlo Process and Scenario Planning</x:v>
      </x:c>
      <x:c r="E27" s="57" t="str">
        <x:v>Charles Yoe</x:v>
      </x:c>
      <x:c r="F27" s="57" t="n">
        <x:v>2025</x:v>
      </x:c>
      <x:c r="G27" s="57" t="str">
        <x:v>The Art of Making Decisions Under Uncertainty</x:v>
      </x:c>
      <x:c r="H27" s="57" t="str">
        <x:v>crossref</x:v>
      </x:c>
      <x:c r="I27" s="57" t="str">
        <x:v>module_D_en</x:v>
      </x:c>
      <x:c r="J27" s="57" t="str">
        <x:v>10.1201/9781003605089-24</x:v>
      </x:c>
      <x:c r="K27" s="57" t="str">
        <x:v>https://doi.org/10.1201/9781003605089-24</x:v>
      </x:c>
      <x:c r="L27" s="57"/>
      <x:c r="M27" s="57" t="str">
        <x:v>not_retrieved</x:v>
      </x:c>
      <x:c r="N27" s="57" t="str">
        <x:v>unavailable</x:v>
      </x:c>
      <x:c r="O27" s="57" t="str">
        <x:v>No se obtuvo texto completo verificable mediante Drive, repositorio o editor de acceso abierto.</x:v>
      </x:c>
      <x:c r="P27" s="57" t="str">
        <x:v>not_applicable</x:v>
      </x:c>
      <x:c r="Q27" s="57" t="str">
        <x:v>no</x:v>
      </x:c>
      <x:c r="R27" s="57" t="str">
        <x:v>not_assessed_fulltext</x:v>
      </x:c>
      <x:c r="S27" s="57" t="str">
        <x:v>not_retrieved</x:v>
      </x:c>
      <x:c r="T27" s="57" t="str">
        <x:v>NR_FULLTEXT_UNAVAILABLE</x:v>
      </x:c>
      <x:c r="U27" s="57"/>
      <x:c r="V27" s="57"/>
      <x:c r="W27" s="57"/>
      <x:c r="X27" s="57"/>
      <x:c r="Y27" s="57"/>
      <x:c r="Z27" s="57"/>
      <x:c r="AA27" s="57"/>
      <x:c r="AB27" s="57" t="str">
        <x:v>none; bibliographic evidence does not modify model parameters automatically</x:v>
      </x:c>
      <x:c r="AC27" s="57" t="str">
        <x:v>Support corpus for an original article; not a systematic-review outcome.</x:v>
      </x:c>
    </x:row>
    <x:row r="28" ht="15" hidden="0" customHeight="1">
      <x:c r="A28" s="58" t="str">
        <x:v>R000147</x:v>
      </x:c>
      <x:c r="B28" s="58" t="n">
        <x:v>2</x:v>
      </x:c>
      <x:c r="C28" s="58" t="str">
        <x:v>uncertain</x:v>
      </x:c>
      <x:c r="D28" s="58" t="str">
        <x:v>Ciência Política, democracia e dinâmicas de governança</x:v>
      </x:c>
      <x:c r="E28" s="58"/>
      <x:c r="F28" s="58" t="n">
        <x:v>2026</x:v>
      </x:c>
      <x:c r="G28" s="58"/>
      <x:c r="H28" s="58" t="str">
        <x:v>crossref</x:v>
      </x:c>
      <x:c r="I28" s="58" t="str">
        <x:v>module_D_pt</x:v>
      </x:c>
      <x:c r="J28" s="58" t="str">
        <x:v>10.22533/at.ed.34911261201</x:v>
      </x:c>
      <x:c r="K28" s="58" t="str">
        <x:v>https://doi.org/10.22533/at.ed.34911261201</x:v>
      </x:c>
      <x:c r="L28" s="58" t="str">
        <x:v>https://doi.org/10.22533/at.ed.34911261201</x:v>
      </x:c>
      <x:c r="M28" s="58" t="str">
        <x:v>not_retrieved</x:v>
      </x:c>
      <x:c r="N28" s="58" t="str">
        <x:v>unavailable</x:v>
      </x:c>
      <x:c r="O28" s="58" t="str">
        <x:v>No se obtuvo texto completo verificable mediante Drive, repositorio o editor de acceso abierto.</x:v>
      </x:c>
      <x:c r="P28" s="58" t="str">
        <x:v>not_applicable</x:v>
      </x:c>
      <x:c r="Q28" s="58" t="str">
        <x:v>no</x:v>
      </x:c>
      <x:c r="R28" s="58" t="str">
        <x:v>not_assessed_fulltext</x:v>
      </x:c>
      <x:c r="S28" s="58" t="str">
        <x:v>not_retrieved</x:v>
      </x:c>
      <x:c r="T28" s="58" t="str">
        <x:v>NR_FULLTEXT_UNAVAILABLE</x:v>
      </x:c>
      <x:c r="U28" s="58"/>
      <x:c r="V28" s="58"/>
      <x:c r="W28" s="58"/>
      <x:c r="X28" s="58"/>
      <x:c r="Y28" s="58"/>
      <x:c r="Z28" s="58"/>
      <x:c r="AA28" s="58"/>
      <x:c r="AB28" s="58" t="str">
        <x:v>none; bibliographic evidence does not modify model parameters automatically</x:v>
      </x:c>
      <x:c r="AC28" s="58" t="str">
        <x:v>Support corpus for an original article; not a systematic-review outcome.</x:v>
      </x:c>
    </x:row>
    <x:row r="29" ht="15" hidden="0" customHeight="1">
      <x:c r="A29" s="57" t="str">
        <x:v>R000177</x:v>
      </x:c>
      <x:c r="B29" s="57" t="n">
        <x:v>2</x:v>
      </x:c>
      <x:c r="C29" s="57" t="str">
        <x:v>uncertain</x:v>
      </x:c>
      <x:c r="D29" s="57" t="str">
        <x:v>Resultados electorales oficiales de 2006. República de El Salvador ; Tribunal Supremo Electoral. Consolidado nacional de las elecciones para concejos municipales ; Tribunal Supremo Electoral. Consolidado nacional de las elecciones para diputados</x:v>
      </x:c>
      <x:c r="E29" s="57" t="str">
        <x:v>El Editor</x:v>
      </x:c>
      <x:c r="F29" s="57" t="n">
        <x:v>2006</x:v>
      </x:c>
      <x:c r="G29" s="57" t="str">
        <x:v>ECA: Estudios Centroamericanos</x:v>
      </x:c>
      <x:c r="H29" s="57" t="str">
        <x:v>crossref</x:v>
      </x:c>
      <x:c r="I29" s="57" t="str">
        <x:v>module_E_es</x:v>
      </x:c>
      <x:c r="J29" s="57" t="str">
        <x:v>10.51378/eca.v61i688-689.4954</x:v>
      </x:c>
      <x:c r="K29" s="57" t="str">
        <x:v>https://doi.org/10.51378/eca.v61i688-689.4954</x:v>
      </x:c>
      <x:c r="L29" s="57" t="str">
        <x:v>https://doi.org/10.51378/eca.v61i688-689.4954</x:v>
      </x:c>
      <x:c r="M29" s="57" t="str">
        <x:v>not_retrieved</x:v>
      </x:c>
      <x:c r="N29" s="57" t="str">
        <x:v>unavailable</x:v>
      </x:c>
      <x:c r="O29" s="57" t="str">
        <x:v>No se obtuvo texto completo verificable mediante Drive, repositorio o editor de acceso abierto.</x:v>
      </x:c>
      <x:c r="P29" s="57" t="str">
        <x:v>not_applicable</x:v>
      </x:c>
      <x:c r="Q29" s="57" t="str">
        <x:v>no</x:v>
      </x:c>
      <x:c r="R29" s="57" t="str">
        <x:v>not_assessed_fulltext</x:v>
      </x:c>
      <x:c r="S29" s="57" t="str">
        <x:v>not_retrieved</x:v>
      </x:c>
      <x:c r="T29" s="57" t="str">
        <x:v>NR_FULLTEXT_UNAVAILABLE</x:v>
      </x:c>
      <x:c r="U29" s="57"/>
      <x:c r="V29" s="57"/>
      <x:c r="W29" s="57"/>
      <x:c r="X29" s="57"/>
      <x:c r="Y29" s="57"/>
      <x:c r="Z29" s="57"/>
      <x:c r="AA29" s="57"/>
      <x:c r="AB29" s="57" t="str">
        <x:v>none; bibliographic evidence does not modify model parameters automatically</x:v>
      </x:c>
      <x:c r="AC29" s="57" t="str">
        <x:v>Support corpus for an original article; not a systematic-review outcome.</x:v>
      </x:c>
    </x:row>
    <x:row r="30" ht="15" hidden="0" customHeight="1">
      <x:c r="A30" s="58" t="str">
        <x:v>R000179</x:v>
      </x:c>
      <x:c r="B30" s="58" t="n">
        <x:v>2</x:v>
      </x:c>
      <x:c r="C30" s="58" t="str">
        <x:v>uncertain</x:v>
      </x:c>
      <x:c r="D30" s="58" t="str">
        <x:v>Integridad electoral en la construcción de los resultados electorales</x:v>
      </x:c>
      <x:c r="E30" s="58" t="str">
        <x:v>Gustavo López Montiel</x:v>
      </x:c>
      <x:c r="F30" s="58" t="n">
        <x:v>2019</x:v>
      </x:c>
      <x:c r="G30" s="58" t="str">
        <x:v>Integridad electoral</x:v>
      </x:c>
      <x:c r="H30" s="58" t="str">
        <x:v>crossref</x:v>
      </x:c>
      <x:c r="I30" s="58" t="str">
        <x:v>module_E_es</x:v>
      </x:c>
      <x:c r="J30" s="58" t="str">
        <x:v>10.2307/j.ctvxbpgs0.12</x:v>
      </x:c>
      <x:c r="K30" s="58" t="str">
        <x:v>https://doi.org/10.2307/j.ctvxbpgs0.12</x:v>
      </x:c>
      <x:c r="L30" s="58" t="str">
        <x:v>https://doi.org/10.2307/j.ctvxbpgs0.12</x:v>
      </x:c>
      <x:c r="M30" s="58" t="str">
        <x:v>not_retrieved</x:v>
      </x:c>
      <x:c r="N30" s="58" t="str">
        <x:v>unavailable</x:v>
      </x:c>
      <x:c r="O30" s="58" t="str">
        <x:v>No se obtuvo texto completo verificable mediante Drive, repositorio o editor de acceso abierto.</x:v>
      </x:c>
      <x:c r="P30" s="58" t="str">
        <x:v>not_applicable</x:v>
      </x:c>
      <x:c r="Q30" s="58" t="str">
        <x:v>no</x:v>
      </x:c>
      <x:c r="R30" s="58" t="str">
        <x:v>not_assessed_fulltext</x:v>
      </x:c>
      <x:c r="S30" s="58" t="str">
        <x:v>not_retrieved</x:v>
      </x:c>
      <x:c r="T30" s="58" t="str">
        <x:v>NR_FULLTEXT_UNAVAILABLE</x:v>
      </x:c>
      <x:c r="U30" s="58"/>
      <x:c r="V30" s="58"/>
      <x:c r="W30" s="58"/>
      <x:c r="X30" s="58"/>
      <x:c r="Y30" s="58"/>
      <x:c r="Z30" s="58"/>
      <x:c r="AA30" s="58"/>
      <x:c r="AB30" s="58" t="str">
        <x:v>none; bibliographic evidence does not modify model parameters automatically</x:v>
      </x:c>
      <x:c r="AC30" s="58" t="str">
        <x:v>Support corpus for an original article; not a systematic-review outcome.</x:v>
      </x:c>
    </x:row>
    <x:row r="31" ht="15" hidden="0" customHeight="1">
      <x:c r="A31" s="57" t="str">
        <x:v>R000253</x:v>
      </x:c>
      <x:c r="B31" s="57" t="n">
        <x:v>2</x:v>
      </x:c>
      <x:c r="C31" s="57" t="str">
        <x:v>uncertain</x:v>
      </x:c>
      <x:c r="D31" s="57" t="str">
        <x:v>Índice de artículos</x:v>
      </x:c>
      <x:c r="E31" s="57" t="str">
        <x:v>Publicados, Índice de artículos</x:v>
      </x:c>
      <x:c r="F31" s="57" t="n">
        <x:v>2013</x:v>
      </x:c>
      <x:c r="G31" s="57" t="str">
        <x:v>{"title": null, "identifiers": []}</x:v>
      </x:c>
      <x:c r="H31" s="57" t="str">
        <x:v>core</x:v>
      </x:c>
      <x:c r="I31" s="57" t="str">
        <x:v>module_C_es</x:v>
      </x:c>
      <x:c r="J31" s="57"/>
      <x:c r="K31" s="57" t="str">
        <x:v>https://core.ac.uk/download/533173403.pdf</x:v>
      </x:c>
      <x:c r="L31" s="57" t="str">
        <x:v>https://core.ac.uk/download/533173403.pdf</x:v>
      </x:c>
      <x:c r="M31" s="57" t="str">
        <x:v>not_retrieved</x:v>
      </x:c>
      <x:c r="N31" s="57" t="str">
        <x:v>unavailable</x:v>
      </x:c>
      <x:c r="O31" s="57" t="str">
        <x:v>No se obtuvo texto completo verificable mediante Drive, repositorio o editor de acceso abierto.</x:v>
      </x:c>
      <x:c r="P31" s="57" t="str">
        <x:v>not_applicable</x:v>
      </x:c>
      <x:c r="Q31" s="57" t="str">
        <x:v>no</x:v>
      </x:c>
      <x:c r="R31" s="57" t="str">
        <x:v>not_assessed_fulltext</x:v>
      </x:c>
      <x:c r="S31" s="57" t="str">
        <x:v>not_retrieved</x:v>
      </x:c>
      <x:c r="T31" s="57" t="str">
        <x:v>NR_FULLTEXT_UNAVAILABLE</x:v>
      </x:c>
      <x:c r="U31" s="57"/>
      <x:c r="V31" s="57"/>
      <x:c r="W31" s="57"/>
      <x:c r="X31" s="57"/>
      <x:c r="Y31" s="57"/>
      <x:c r="Z31" s="57"/>
      <x:c r="AA31" s="57"/>
      <x:c r="AB31" s="57" t="str">
        <x:v>none; bibliographic evidence does not modify model parameters automatically</x:v>
      </x:c>
      <x:c r="AC31" s="57" t="str">
        <x:v>Support corpus for an original article; not a systematic-review outcome.</x:v>
      </x:c>
    </x:row>
    <x:row r="32" ht="15" hidden="0" customHeight="1">
      <x:c r="A32" s="58" t="str">
        <x:v>R000350</x:v>
      </x:c>
      <x:c r="B32" s="58" t="n">
        <x:v>2</x:v>
      </x:c>
      <x:c r="C32" s="58" t="str">
        <x:v>uncertain</x:v>
      </x:c>
      <x:c r="D32" s="58" t="str">
        <x:v>Political polarization in low- and middle-income countries</x:v>
      </x:c>
      <x:c r="E32" s="58" t="str">
        <x:v>Larreguy H.</x:v>
      </x:c>
      <x:c r="F32" s="58" t="n">
        <x:v>2026</x:v>
      </x:c>
      <x:c r="G32" s="58" t="str">
        <x:v>Nature Human Behaviour</x:v>
      </x:c>
      <x:c r="H32" s="58" t="str">
        <x:v>scopus</x:v>
      </x:c>
      <x:c r="I32" s="58" t="str">
        <x:v>module_A_en</x:v>
      </x:c>
      <x:c r="J32" s="58" t="str">
        <x:v>10.1038/s41562-026-02507-3</x:v>
      </x:c>
      <x:c r="K32" s="58" t="str">
        <x:v>https://api.elsevier.com/content/abstract/scopus_id/105042611963</x:v>
      </x:c>
      <x:c r="L32" s="58" t="str">
        <x:v>https://doi.org/10.1038/s41562-026-02507-3</x:v>
      </x:c>
      <x:c r="M32" s="58" t="str">
        <x:v>not_retrieved</x:v>
      </x:c>
      <x:c r="N32" s="58" t="str">
        <x:v>unavailable</x:v>
      </x:c>
      <x:c r="O32" s="58" t="str">
        <x:v>No se obtuvo texto completo verificable mediante Drive, repositorio o editor de acceso abierto.</x:v>
      </x:c>
      <x:c r="P32" s="58" t="str">
        <x:v>not_applicable</x:v>
      </x:c>
      <x:c r="Q32" s="58" t="str">
        <x:v>no</x:v>
      </x:c>
      <x:c r="R32" s="58" t="str">
        <x:v>not_assessed_fulltext</x:v>
      </x:c>
      <x:c r="S32" s="58" t="str">
        <x:v>not_retrieved</x:v>
      </x:c>
      <x:c r="T32" s="58" t="str">
        <x:v>NR_FULLTEXT_UNAVAILABLE</x:v>
      </x:c>
      <x:c r="U32" s="58"/>
      <x:c r="V32" s="58"/>
      <x:c r="W32" s="58"/>
      <x:c r="X32" s="58"/>
      <x:c r="Y32" s="58"/>
      <x:c r="Z32" s="58"/>
      <x:c r="AA32" s="58"/>
      <x:c r="AB32" s="58" t="str">
        <x:v>none; bibliographic evidence does not modify model parameters automatically</x:v>
      </x:c>
      <x:c r="AC32" s="58" t="str">
        <x:v>Support corpus for an original article; not a systematic-review outcome.</x:v>
      </x:c>
    </x:row>
    <x:row r="33" ht="15" hidden="0" customHeight="1">
      <x:c r="A33" s="57" t="str">
        <x:v>R000351</x:v>
      </x:c>
      <x:c r="B33" s="57" t="n">
        <x:v>2</x:v>
      </x:c>
      <x:c r="C33" s="57" t="str">
        <x:v>uncertain</x:v>
      </x:c>
      <x:c r="D33" s="57" t="str">
        <x:v>The Treacherous Road out of Autocracy</x:v>
      </x:c>
      <x:c r="E33" s="57" t="str">
        <x:v>Gamboa L.</x:v>
      </x:c>
      <x:c r="F33" s="57" t="n">
        <x:v>2026</x:v>
      </x:c>
      <x:c r="G33" s="57" t="str">
        <x:v>Current History</x:v>
      </x:c>
      <x:c r="H33" s="57" t="str">
        <x:v>scopus</x:v>
      </x:c>
      <x:c r="I33" s="57" t="str">
        <x:v>module_A_en</x:v>
      </x:c>
      <x:c r="J33" s="57" t="str">
        <x:v>10.1525/curh.2026.125.872-873.38</x:v>
      </x:c>
      <x:c r="K33" s="57" t="str">
        <x:v>https://api.elsevier.com/content/abstract/scopus_id/105044370692</x:v>
      </x:c>
      <x:c r="L33" s="57" t="str">
        <x:v>https://doi.org/10.1525/curh.2026.125.872-873.38</x:v>
      </x:c>
      <x:c r="M33" s="57" t="str">
        <x:v>not_retrieved</x:v>
      </x:c>
      <x:c r="N33" s="57" t="str">
        <x:v>abstract_or_metadata_only</x:v>
      </x:c>
      <x:c r="O33" s="57" t="str">
        <x:v>Resumen o metadatos localizados, pero el texto completo legal no estuvo disponible.</x:v>
      </x:c>
      <x:c r="P33" s="57" t="str">
        <x:v>not_applicable</x:v>
      </x:c>
      <x:c r="Q33" s="57" t="str">
        <x:v>no</x:v>
      </x:c>
      <x:c r="R33" s="57" t="str">
        <x:v>not_assessed_fulltext</x:v>
      </x:c>
      <x:c r="S33" s="57" t="str">
        <x:v>not_retrieved</x:v>
      </x:c>
      <x:c r="T33" s="57" t="str">
        <x:v>NR_FULLTEXT_UNAVAILABLE</x:v>
      </x:c>
      <x:c r="U33" s="57"/>
      <x:c r="V33" s="57"/>
      <x:c r="W33" s="57"/>
      <x:c r="X33" s="57"/>
      <x:c r="Y33" s="57"/>
      <x:c r="Z33" s="57"/>
      <x:c r="AA33" s="57"/>
      <x:c r="AB33" s="57" t="str">
        <x:v>none; bibliographic evidence does not modify model parameters automatically</x:v>
      </x:c>
      <x:c r="AC33" s="57" t="str">
        <x:v>Support corpus for an original article; not a systematic-review outcome.</x:v>
      </x:c>
    </x:row>
    <x:row r="34" ht="15" hidden="0" customHeight="1">
      <x:c r="A34" s="58" t="str">
        <x:v>R000540</x:v>
      </x:c>
      <x:c r="B34" s="58" t="n">
        <x:v>2</x:v>
      </x:c>
      <x:c r="C34" s="58" t="str">
        <x:v>uncertain</x:v>
      </x:c>
      <x:c r="D34" s="58" t="str">
        <x:v>School well-being in boarding schools: challenges and opportunities to overcome social anomie in an indigenous context</x:v>
      </x:c>
      <x:c r="E34" s="58" t="str">
        <x:v>Villarroel-Cárdenas V.</x:v>
      </x:c>
      <x:c r="F34" s="58" t="n">
        <x:v>2026</x:v>
      </x:c>
      <x:c r="G34" s="58" t="str">
        <x:v>Estudios Pedagogicos</x:v>
      </x:c>
      <x:c r="H34" s="58" t="str">
        <x:v>scopus</x:v>
      </x:c>
      <x:c r="I34" s="58" t="str">
        <x:v>module_D_es</x:v>
      </x:c>
      <x:c r="J34" s="58" t="str">
        <x:v>10.4067/s0718-07052026000100501</x:v>
      </x:c>
      <x:c r="K34" s="58" t="str">
        <x:v>https://api.elsevier.com/content/abstract/scopus_id/105041303264</x:v>
      </x:c>
      <x:c r="L34" s="58" t="str">
        <x:v>https://doi.org/10.4067/s0718-07052026000100501</x:v>
      </x:c>
      <x:c r="M34" s="58" t="str">
        <x:v>not_retrieved</x:v>
      </x:c>
      <x:c r="N34" s="58" t="str">
        <x:v>unavailable</x:v>
      </x:c>
      <x:c r="O34" s="58" t="str">
        <x:v>No se obtuvo texto completo verificable mediante Drive, repositorio o editor de acceso abierto.</x:v>
      </x:c>
      <x:c r="P34" s="58" t="str">
        <x:v>not_applicable</x:v>
      </x:c>
      <x:c r="Q34" s="58" t="str">
        <x:v>no</x:v>
      </x:c>
      <x:c r="R34" s="58" t="str">
        <x:v>not_assessed_fulltext</x:v>
      </x:c>
      <x:c r="S34" s="58" t="str">
        <x:v>not_retrieved</x:v>
      </x:c>
      <x:c r="T34" s="58" t="str">
        <x:v>NR_FULLTEXT_UNAVAILABLE</x:v>
      </x:c>
      <x:c r="U34" s="58"/>
      <x:c r="V34" s="58"/>
      <x:c r="W34" s="58"/>
      <x:c r="X34" s="58"/>
      <x:c r="Y34" s="58"/>
      <x:c r="Z34" s="58"/>
      <x:c r="AA34" s="58"/>
      <x:c r="AB34" s="58" t="str">
        <x:v>none; bibliographic evidence does not modify model parameters automatically</x:v>
      </x:c>
      <x:c r="AC34" s="58" t="str">
        <x:v>Support corpus for an original article; not a systematic-review outcome.</x:v>
      </x:c>
    </x:row>
    <x:row r="35" ht="15" hidden="0" customHeight="1">
      <x:c r="A35" s="57" t="str">
        <x:v>R000596</x:v>
      </x:c>
      <x:c r="B35" s="57" t="n">
        <x:v>2</x:v>
      </x:c>
      <x:c r="C35" s="57" t="str">
        <x:v>uncertain</x:v>
      </x:c>
      <x:c r="D35" s="57" t="str">
        <x:v>Discursive geographies of extraction: towards a territorialized application of cultural political economy of extractivism in Chile and Peru</x:v>
      </x:c>
      <x:c r="E35" s="57" t="str">
        <x:v>Watanabe-Farro A.</x:v>
      </x:c>
      <x:c r="F35" s="57" t="n">
        <x:v>2026</x:v>
      </x:c>
      <x:c r="G35" s="57" t="str">
        <x:v>Extractive Industries and Society</x:v>
      </x:c>
      <x:c r="H35" s="57" t="str">
        <x:v>scopus</x:v>
      </x:c>
      <x:c r="I35" s="57" t="str">
        <x:v>module_E_es</x:v>
      </x:c>
      <x:c r="J35" s="57" t="str">
        <x:v>10.1016/j.exis.2026.102020</x:v>
      </x:c>
      <x:c r="K35" s="57" t="str">
        <x:v>https://api.elsevier.com/content/abstract/scopus_id/105046891472</x:v>
      </x:c>
      <x:c r="L35" s="57" t="str">
        <x:v>https://doi.org/10.1016/j.exis.2026.102020</x:v>
      </x:c>
      <x:c r="M35" s="57" t="str">
        <x:v>not_retrieved</x:v>
      </x:c>
      <x:c r="N35" s="57" t="str">
        <x:v>unavailable</x:v>
      </x:c>
      <x:c r="O35" s="57" t="str">
        <x:v>No se obtuvo texto completo verificable mediante Drive, repositorio o editor de acceso abierto.</x:v>
      </x:c>
      <x:c r="P35" s="57" t="str">
        <x:v>not_applicable</x:v>
      </x:c>
      <x:c r="Q35" s="57" t="str">
        <x:v>no</x:v>
      </x:c>
      <x:c r="R35" s="57" t="str">
        <x:v>not_assessed_fulltext</x:v>
      </x:c>
      <x:c r="S35" s="57" t="str">
        <x:v>not_retrieved</x:v>
      </x:c>
      <x:c r="T35" s="57" t="str">
        <x:v>NR_FULLTEXT_UNAVAILABLE</x:v>
      </x:c>
      <x:c r="U35" s="57"/>
      <x:c r="V35" s="57"/>
      <x:c r="W35" s="57"/>
      <x:c r="X35" s="57"/>
      <x:c r="Y35" s="57"/>
      <x:c r="Z35" s="57"/>
      <x:c r="AA35" s="57"/>
      <x:c r="AB35" s="57" t="str">
        <x:v>none; bibliographic evidence does not modify model parameters automatically</x:v>
      </x:c>
      <x:c r="AC35" s="57" t="str">
        <x:v>Support corpus for an original article; not a systematic-review outcome.</x:v>
      </x:c>
    </x:row>
  </x:sheetData>
  <x:mergeCells>
    <x:mergeCell ref="A1:AC1"/>
    <x:mergeCell ref="A2:AC2"/>
  </x:mergeCells>
  <x:pageMargins left="0.7" right="0.7" top="0.75" bottom="0.75" header="0.3" footer="0.3"/>
  <x:tableParts count="1">
    <x:tablePart xmlns:r="http://schemas.openxmlformats.org/officeDocument/2006/relationships" r:id="R43407a80f3ed4d07"/>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42" hidden="0" customWidth="1"/>
    <x:col min="2" max="2" width="44" hidden="0" customWidth="1"/>
    <x:col min="3" max="3" width="44" hidden="0" customWidth="1"/>
    <x:col min="4" max="4" width="42" hidden="0" customWidth="1"/>
    <x:col min="5" max="5" width="42" hidden="0" customWidth="1"/>
    <x:col min="6" max="6" width="44" hidden="0" customWidth="1"/>
    <x:col min="7" max="7" width="44" hidden="0" customWidth="1"/>
    <x:col min="8" max="8" width="42" hidden="0" customWidth="1"/>
    <x:col min="9" max="9" width="42" hidden="0" customWidth="1"/>
    <x:col min="10" max="10" width="44" hidden="0" customWidth="1"/>
    <x:col min="11" max="11" width="42" hidden="0" customWidth="1"/>
    <x:col min="12" max="12" width="42" hidden="0" customWidth="1"/>
    <x:col min="13" max="13" width="44" hidden="0" customWidth="1"/>
  </x:cols>
  <x:sheetData>
    <x:row r="1" ht="19.200000762939453" hidden="0" customHeight="1">
      <x:c r="A1" s="3" t="str">
        <x:v>Mapa de integración de evidencia (n = 29)</x:v>
      </x:c>
      <x:c r="B1" s="3" t="str">
        <x:v>Mapa de integración de evidencia (n = 29)</x:v>
      </x:c>
      <x:c r="C1" s="3" t="str">
        <x:v>Mapa de integración de evidencia (n = 29)</x:v>
      </x:c>
      <x:c r="D1" s="3" t="str">
        <x:v>Mapa de integración de evidencia (n = 29)</x:v>
      </x:c>
      <x:c r="E1" s="3" t="str">
        <x:v>Mapa de integración de evidencia (n = 29)</x:v>
      </x:c>
      <x:c r="F1" s="3" t="str">
        <x:v>Mapa de integración de evidencia (n = 29)</x:v>
      </x:c>
      <x:c r="G1" s="3" t="str">
        <x:v>Mapa de integración de evidencia (n = 29)</x:v>
      </x:c>
      <x:c r="H1" s="3" t="str">
        <x:v>Mapa de integración de evidencia (n = 29)</x:v>
      </x:c>
      <x:c r="I1" s="3" t="str">
        <x:v>Mapa de integración de evidencia (n = 29)</x:v>
      </x:c>
      <x:c r="J1" s="3" t="str">
        <x:v>Mapa de integración de evidencia (n = 29)</x:v>
      </x:c>
      <x:c r="K1" s="3" t="str">
        <x:v>Mapa de integración de evidencia (n = 29)</x:v>
      </x:c>
      <x:c r="L1" s="3" t="str">
        <x:v>Mapa de integración de evidencia (n = 29)</x:v>
      </x:c>
      <x:c r="M1" s="3" t="str">
        <x:v>Mapa de integración de evidencia (n = 29)</x:v>
      </x:c>
    </x:row>
    <x:row r="2" ht="15" hidden="0" customHeight="1">
      <x:c r="A2" s="7" t="str">
        <x:v>Correspondencia fuente–sección–dimensión–afirmación. parameter_effect impide cambios automáticos del modelo.</x:v>
      </x:c>
      <x:c r="B2" s="7" t="str">
        <x:v>Correspondencia fuente–sección–dimensión–afirmación. parameter_effect impide cambios automáticos del modelo.</x:v>
      </x:c>
      <x:c r="C2" s="7" t="str">
        <x:v>Correspondencia fuente–sección–dimensión–afirmación. parameter_effect impide cambios automáticos del modelo.</x:v>
      </x:c>
      <x:c r="D2" s="7" t="str">
        <x:v>Correspondencia fuente–sección–dimensión–afirmación. parameter_effect impide cambios automáticos del modelo.</x:v>
      </x:c>
      <x:c r="E2" s="7" t="str">
        <x:v>Correspondencia fuente–sección–dimensión–afirmación. parameter_effect impide cambios automáticos del modelo.</x:v>
      </x:c>
      <x:c r="F2" s="7" t="str">
        <x:v>Correspondencia fuente–sección–dimensión–afirmación. parameter_effect impide cambios automáticos del modelo.</x:v>
      </x:c>
      <x:c r="G2" s="7" t="str">
        <x:v>Correspondencia fuente–sección–dimensión–afirmación. parameter_effect impide cambios automáticos del modelo.</x:v>
      </x:c>
      <x:c r="H2" s="7" t="str">
        <x:v>Correspondencia fuente–sección–dimensión–afirmación. parameter_effect impide cambios automáticos del modelo.</x:v>
      </x:c>
      <x:c r="I2" s="7" t="str">
        <x:v>Correspondencia fuente–sección–dimensión–afirmación. parameter_effect impide cambios automáticos del modelo.</x:v>
      </x:c>
      <x:c r="J2" s="7" t="str">
        <x:v>Correspondencia fuente–sección–dimensión–afirmación. parameter_effect impide cambios automáticos del modelo.</x:v>
      </x:c>
      <x:c r="K2" s="7" t="str">
        <x:v>Correspondencia fuente–sección–dimensión–afirmación. parameter_effect impide cambios automáticos del modelo.</x:v>
      </x:c>
      <x:c r="L2" s="7" t="str">
        <x:v>Correspondencia fuente–sección–dimensión–afirmación. parameter_effect impide cambios automáticos del modelo.</x:v>
      </x:c>
      <x:c r="M2" s="7" t="str">
        <x:v>Correspondencia fuente–sección–dimensión–afirmación. parameter_effect impide cambios automáticos del modelo.</x:v>
      </x:c>
    </x:row>
    <x:row r="3" ht="15" hidden="0" customHeight="1">
      <x:c r="A3" s="8"/>
      <x:c r="B3" s="8"/>
      <x:c r="C3" s="8"/>
      <x:c r="D3" s="8"/>
      <x:c r="E3" s="8"/>
      <x:c r="F3" s="8"/>
      <x:c r="G3" s="8"/>
      <x:c r="H3" s="8"/>
      <x:c r="I3" s="8"/>
      <x:c r="J3" s="8"/>
      <x:c r="K3" s="8"/>
      <x:c r="L3" s="8"/>
      <x:c r="M3" s="8"/>
    </x:row>
    <x:row r="4"/>
    <x:row r="5" ht="15" hidden="0" customHeight="1">
      <x:c r="A5" s="14" t="str">
        <x:v>﻿record_id</x:v>
      </x:c>
      <x:c r="B5" s="14" t="str">
        <x:v>title</x:v>
      </x:c>
      <x:c r="C5" s="14" t="str">
        <x:v>authors</x:v>
      </x:c>
      <x:c r="D5" s="14" t="str">
        <x:v>year</x:v>
      </x:c>
      <x:c r="E5" s="14" t="str">
        <x:v>doi</x:v>
      </x:c>
      <x:c r="F5" s="14" t="str">
        <x:v>article_section</x:v>
      </x:c>
      <x:c r="G5" s="14" t="str">
        <x:v>evidence_role</x:v>
      </x:c>
      <x:c r="H5" s="14" t="str">
        <x:v>democracy_dimension</x:v>
      </x:c>
      <x:c r="I5" s="14" t="str">
        <x:v>scenario_link</x:v>
      </x:c>
      <x:c r="J5" s="14" t="str">
        <x:v>claim_supported</x:v>
      </x:c>
      <x:c r="K5" s="14" t="str">
        <x:v>appraisal_tool</x:v>
      </x:c>
      <x:c r="L5" s="14" t="str">
        <x:v>appraisal_rating</x:v>
      </x:c>
      <x:c r="M5" s="14" t="str">
        <x:v>parameter_effect</x:v>
      </x:c>
    </x:row>
    <x:row r="6" ht="15" hidden="0" customHeight="1">
      <x:c r="A6" s="58" t="str">
        <x:v>R000001</x:v>
      </x:c>
      <x:c r="B6" s="58" t="str">
        <x:v>Under Pressure: Explaining Backlash Against Civil Society in the Andean Community</x:v>
      </x:c>
      <x:c r="C6" s="58" t="str">
        <x:v>Noah Anders Levine</x:v>
      </x:c>
      <x:c r="D6" s="58" t="n">
        <x:v>2018</x:v>
      </x:c>
      <x:c r="E6" s="58"/>
      <x:c r="F6" s="58" t="str">
        <x:v>Introducción y discusión</x:v>
      </x:c>
      <x:c r="G6" s="58" t="str">
        <x:v>contexto de contracción del espacio cívico</x:v>
      </x:c>
      <x:c r="H6" s="58" t="str">
        <x:v>libertades_civiles</x:v>
      </x:c>
      <x:c r="I6" s="58" t="str">
        <x:v>restrictivo</x:v>
      </x:c>
      <x:c r="J6" s="58" t="str">
        <x:v>La presión sobre la sociedad civil ayuda a interpretar riesgos de cierre del espacio cívico.</x:v>
      </x:c>
      <x:c r="K6" s="58" t="str">
        <x:v>AACODS</x:v>
      </x:c>
      <x:c r="L6" s="58" t="str">
        <x:v>moderada</x:v>
      </x:c>
      <x:c r="M6" s="58" t="str">
        <x:v>none; bibliographic evidence does not modify model parameters automatically</x:v>
      </x:c>
    </x:row>
    <x:row r="7" ht="15" hidden="0" customHeight="1">
      <x:c r="A7" s="57" t="str">
        <x:v>R000005</x:v>
      </x:c>
      <x:c r="B7" s="57" t="str">
        <x:v>A Lexical Index of Electoral Democracy</x:v>
      </x:c>
      <x:c r="C7" s="57" t="str">
        <x:v>Svend‐Erik Skaaning; John Gerring; Henrikas Bartusevičius</x:v>
      </x:c>
      <x:c r="D7" s="57" t="n">
        <x:v>2015</x:v>
      </x:c>
      <x:c r="E7" s="57" t="str">
        <x:v>10.1177/0010414015581050</x:v>
      </x:c>
      <x:c r="F7" s="57" t="str">
        <x:v>Métodos</x:v>
      </x:c>
      <x:c r="G7" s="57" t="str">
        <x:v>fundamento de medición ordinal</x:v>
      </x:c>
      <x:c r="H7" s="57" t="str">
        <x:v>medición_multidimensional</x:v>
      </x:c>
      <x:c r="I7" s="57" t="str">
        <x:v>transversal</x:v>
      </x:c>
      <x:c r="J7" s="57" t="str">
        <x:v>Las escalas ordinales exigen transparencia sobre reglas y límites inferenciales.</x:v>
      </x:c>
      <x:c r="K7" s="57" t="str">
        <x:v>METHOD_RELEVANCE</x:v>
      </x:c>
      <x:c r="L7" s="57" t="str">
        <x:v>alta</x:v>
      </x:c>
      <x:c r="M7" s="57" t="str">
        <x:v>none; bibliographic evidence does not modify model parameters automatically</x:v>
      </x:c>
    </x:row>
    <x:row r="8" ht="15" hidden="0" customHeight="1">
      <x:c r="A8" s="58" t="str">
        <x:v>R000017</x:v>
      </x:c>
      <x:c r="B8" s="58" t="str">
        <x:v>An Ordinal, Concept-driven Approach to Measurement: The Lexical Scale</x:v>
      </x:c>
      <x:c r="C8" s="58" t="str">
        <x:v>John Gerring; Daniel Pemstein; Svend‐Erik Skaaning</x:v>
      </x:c>
      <x:c r="D8" s="58" t="n">
        <x:v>2018</x:v>
      </x:c>
      <x:c r="E8" s="58" t="str">
        <x:v>10.1177/0049124118782531</x:v>
      </x:c>
      <x:c r="F8" s="58" t="str">
        <x:v>Métodos y limitaciones</x:v>
      </x:c>
      <x:c r="G8" s="58" t="str">
        <x:v>validez de escalas democráticas</x:v>
      </x:c>
      <x:c r="H8" s="58" t="str">
        <x:v>medición_multidimensional</x:v>
      </x:c>
      <x:c r="I8" s="58" t="str">
        <x:v>transversal</x:v>
      </x:c>
      <x:c r="J8" s="58" t="str">
        <x:v>La construcción de escalas democráticas requiere coherencia conceptual y comparabilidad.</x:v>
      </x:c>
      <x:c r="K8" s="58" t="str">
        <x:v>METHOD_RELEVANCE</x:v>
      </x:c>
      <x:c r="L8" s="58" t="str">
        <x:v>alta</x:v>
      </x:c>
      <x:c r="M8" s="58" t="str">
        <x:v>none; bibliographic evidence does not modify model parameters automatically</x:v>
      </x:c>
    </x:row>
    <x:row r="9" ht="15" hidden="0" customHeight="1">
      <x:c r="A9" s="57" t="str">
        <x:v>R000019</x:v>
      </x:c>
      <x:c r="B9" s="57" t="str">
        <x:v>Quality Assessment of the Academic Freedom Index: Strengths, Weaknesses, and How Best to Use It</x:v>
      </x:c>
      <x:c r="C9" s="57" t="str">
        <x:v>Lars Lott; Janika Spannagel</x:v>
      </x:c>
      <x:c r="D9" s="57" t="n">
        <x:v>2025</x:v>
      </x:c>
      <x:c r="E9" s="57" t="str">
        <x:v>10.1017/s1537592724001968</x:v>
      </x:c>
      <x:c r="F9" s="57" t="str">
        <x:v>Métodos y limitaciones</x:v>
      </x:c>
      <x:c r="G9" s="57" t="str">
        <x:v>calidad y cobertura de índices</x:v>
      </x:c>
      <x:c r="H9" s="57" t="str">
        <x:v>medición_multidimensional</x:v>
      </x:c>
      <x:c r="I9" s="57" t="str">
        <x:v>transversal</x:v>
      </x:c>
      <x:c r="J9" s="57" t="str">
        <x:v>Los índices comparados deben declarar cobertura, agregación e incertidumbre.</x:v>
      </x:c>
      <x:c r="K9" s="57" t="str">
        <x:v>MMAT_2018</x:v>
      </x:c>
      <x:c r="L9" s="57" t="str">
        <x:v>alta</x:v>
      </x:c>
      <x:c r="M9" s="57" t="str">
        <x:v>none; bibliographic evidence does not modify model parameters automatically</x:v>
      </x:c>
    </x:row>
    <x:row r="10" ht="15" hidden="0" customHeight="1">
      <x:c r="A10" s="58" t="str">
        <x:v>R000057</x:v>
      </x:c>
      <x:c r="B10" s="58" t="str">
        <x:v>Populismo y retroceso democrático en América Latina</x:v>
      </x:c>
      <x:c r="C10" s="58" t="str">
        <x:v>Alejandra Armesto</x:v>
      </x:c>
      <x:c r="D10" s="58" t="n">
        <x:v>2025</x:v>
      </x:c>
      <x:c r="E10" s="58" t="str">
        <x:v>10.22201/iis.rld.2025.00.10</x:v>
      </x:c>
      <x:c r="F10" s="58" t="str">
        <x:v>Introducción y discusión</x:v>
      </x:c>
      <x:c r="G10" s="58" t="str">
        <x:v>mecanismo populismo-retroceso</x:v>
      </x:c>
      <x:c r="H10" s="58" t="str">
        <x:v>cultura_politica</x:v>
      </x:c>
      <x:c r="I10" s="58" t="str">
        <x:v>restrictivo</x:v>
      </x:c>
      <x:c r="J10" s="58" t="str">
        <x:v>El populismo puede articularse con procesos graduales de retroceso democrático.</x:v>
      </x:c>
      <x:c r="K10" s="58" t="str">
        <x:v>MMAT_2018</x:v>
      </x:c>
      <x:c r="L10" s="58" t="str">
        <x:v>alta</x:v>
      </x:c>
      <x:c r="M10" s="58" t="str">
        <x:v>none; bibliographic evidence does not modify model parameters automatically</x:v>
      </x:c>
    </x:row>
    <x:row r="11" ht="15" hidden="0" customHeight="1">
      <x:c r="A11" s="57" t="str">
        <x:v>R000064</x:v>
      </x:c>
      <x:c r="B11" s="57" t="str">
        <x:v>La militarización de la política democrática en América Latina y sus efectos sobre la calidad del régimen</x:v>
      </x:c>
      <x:c r="C11" s="57" t="str">
        <x:v>Alexander Arciniegas-Carreño; Luis Antonio González-Tule; João Carlos Amoroso Botelho</x:v>
      </x:c>
      <x:c r="D11" s="57" t="n">
        <x:v>2025</x:v>
      </x:c>
      <x:c r="E11" s="57" t="str">
        <x:v>10.17141/iconos.83.2025.6607</x:v>
      </x:c>
      <x:c r="F11" s="57" t="str">
        <x:v>Discusión</x:v>
      </x:c>
      <x:c r="G11" s="57" t="str">
        <x:v>militarización y control civil</x:v>
      </x:c>
      <x:c r="H11" s="57" t="str">
        <x:v>funcionamiento_gobierno</x:v>
      </x:c>
      <x:c r="I11" s="57" t="str">
        <x:v>restrictivo</x:v>
      </x:c>
      <x:c r="J11" s="57" t="str">
        <x:v>La militarización amplía riesgos para controles civiles y rendición de cuentas.</x:v>
      </x:c>
      <x:c r="K11" s="57" t="str">
        <x:v>MMAT_2018</x:v>
      </x:c>
      <x:c r="L11" s="57" t="str">
        <x:v>alta</x:v>
      </x:c>
      <x:c r="M11" s="57" t="str">
        <x:v>none; bibliographic evidence does not modify model parameters automatically</x:v>
      </x:c>
    </x:row>
    <x:row r="12" ht="15" hidden="0" customHeight="1">
      <x:c r="A12" s="58" t="str">
        <x:v>R000066</x:v>
      </x:c>
      <x:c r="B12" s="58" t="str">
        <x:v>El fortalecimiento de la calidad de la democracia en América Latina. Una propuesta a partir de la gobernanza democrática</x:v>
      </x:c>
      <x:c r="C12" s="58" t="str">
        <x:v>Jose Manuel Ledezma Rosas; Enoc Francisco Morán Torres</x:v>
      </x:c>
      <x:c r="D12" s="58" t="n">
        <x:v>2020</x:v>
      </x:c>
      <x:c r="E12" s="58" t="str">
        <x:v>10.14409/redoeda.v7i2.9721</x:v>
      </x:c>
      <x:c r="F12" s="58" t="str">
        <x:v>Introducción y discusión</x:v>
      </x:c>
      <x:c r="G12" s="58" t="str">
        <x:v>gobernanza democrática</x:v>
      </x:c>
      <x:c r="H12" s="58" t="str">
        <x:v>funcionamiento_gobierno</x:v>
      </x:c>
      <x:c r="I12" s="58" t="str">
        <x:v>recuperacion</x:v>
      </x:c>
      <x:c r="J12" s="58" t="str">
        <x:v>La gobernanza democrática depende de instituciones eficaces y responsables.</x:v>
      </x:c>
      <x:c r="K12" s="58" t="str">
        <x:v>MMAT_2018</x:v>
      </x:c>
      <x:c r="L12" s="58" t="str">
        <x:v>moderada</x:v>
      </x:c>
      <x:c r="M12" s="58" t="str">
        <x:v>none; bibliographic evidence does not modify model parameters automatically</x:v>
      </x:c>
    </x:row>
    <x:row r="13" ht="15" hidden="0" customHeight="1">
      <x:c r="A13" s="57" t="str">
        <x:v>R000070</x:v>
      </x:c>
      <x:c r="B13" s="57" t="str">
        <x:v>Perspectivas sobre desenvolvimento democrático e qualidade da democracia: Brasil e América Latina</x:v>
      </x:c>
      <x:c r="C13" s="57" t="str">
        <x:v>Maria Celina D’Araujo; Guilherme Leite Ribeiro</x:v>
      </x:c>
      <x:c r="D13" s="57" t="n">
        <x:v>2016</x:v>
      </x:c>
      <x:c r="E13" s="57" t="str">
        <x:v>10.5216/sec.v18i2.42375</x:v>
      </x:c>
      <x:c r="F13" s="57" t="str">
        <x:v>Introducción y discusión</x:v>
      </x:c>
      <x:c r="G13" s="57" t="str">
        <x:v>enfoque multidimensional</x:v>
      </x:c>
      <x:c r="H13" s="57" t="str">
        <x:v>medición_multidimensional</x:v>
      </x:c>
      <x:c r="I13" s="57" t="str">
        <x:v>transversal</x:v>
      </x:c>
      <x:c r="J13" s="57" t="str">
        <x:v>La calidad democrática debe interpretarse como un constructo multidimensional.</x:v>
      </x:c>
      <x:c r="K13" s="57" t="str">
        <x:v>MMAT_2018</x:v>
      </x:c>
      <x:c r="L13" s="57" t="str">
        <x:v>alta</x:v>
      </x:c>
      <x:c r="M13" s="57" t="str">
        <x:v>none; bibliographic evidence does not modify model parameters automatically</x:v>
      </x:c>
    </x:row>
    <x:row r="14" ht="15" hidden="0" customHeight="1">
      <x:c r="A14" s="58" t="str">
        <x:v>R000093</x:v>
      </x:c>
      <x:c r="B14" s="58" t="str">
        <x:v>Cultura política y construcción de ciudadanía: hacia una Dirección de Participación Electoral en el Gobierno del Estado de México</x:v>
      </x:c>
      <x:c r="C14" s="58" t="str">
        <x:v>ERICK JOSUE PEREZ DIAZ</x:v>
      </x:c>
      <x:c r="D14" s="58" t="n">
        <x:v>2025</x:v>
      </x:c>
      <x:c r="E14" s="58" t="str">
        <x:v>10.36677/espaciospublicos.v26i64.24832</x:v>
      </x:c>
      <x:c r="F14" s="58" t="str">
        <x:v>Discusión</x:v>
      </x:c>
      <x:c r="G14" s="58" t="str">
        <x:v>cultura política y ciudadanía</x:v>
      </x:c>
      <x:c r="H14" s="58" t="str">
        <x:v>cultura_politica</x:v>
      </x:c>
      <x:c r="I14" s="58" t="str">
        <x:v>continuidad</x:v>
      </x:c>
      <x:c r="J14" s="58" t="str">
        <x:v>La participación y cultura cívica condicionan la sostenibilidad democrática.</x:v>
      </x:c>
      <x:c r="K14" s="58" t="str">
        <x:v>MMAT_2018</x:v>
      </x:c>
      <x:c r="L14" s="58" t="str">
        <x:v>moderada</x:v>
      </x:c>
      <x:c r="M14" s="58" t="str">
        <x:v>none; bibliographic evidence does not modify model parameters automatically</x:v>
      </x:c>
    </x:row>
    <x:row r="15" ht="15" hidden="0" customHeight="1">
      <x:c r="A15" s="57" t="str">
        <x:v>R000098</x:v>
      </x:c>
      <x:c r="B15" s="57" t="str">
        <x:v>Cuando la integridad electoral está en riesgo: democracia, fraude e instituciones en América Latina</x:v>
      </x:c>
      <x:c r="C15" s="57" t="str">
        <x:v>Danillo Rafael Batista</x:v>
      </x:c>
      <x:c r="D15" s="57" t="n">
        <x:v>2024</x:v>
      </x:c>
      <x:c r="E15" s="57" t="str">
        <x:v>10.26851/rucp.33.10</x:v>
      </x:c>
      <x:c r="F15" s="57" t="str">
        <x:v>Métodos y discusión</x:v>
      </x:c>
      <x:c r="G15" s="57" t="str">
        <x:v>integridad electoral</x:v>
      </x:c>
      <x:c r="H15" s="57" t="str">
        <x:v>proceso_electoral</x:v>
      </x:c>
      <x:c r="I15" s="57" t="str">
        <x:v>transversal</x:v>
      </x:c>
      <x:c r="J15" s="57" t="str">
        <x:v>La integridad electoral es una dimensión diferenciada de la calidad democrática.</x:v>
      </x:c>
      <x:c r="K15" s="57" t="str">
        <x:v>MMAT_2018</x:v>
      </x:c>
      <x:c r="L15" s="57" t="str">
        <x:v>alta</x:v>
      </x:c>
      <x:c r="M15" s="57" t="str">
        <x:v>none; bibliographic evidence does not modify model parameters automatically</x:v>
      </x:c>
    </x:row>
    <x:row r="16" ht="15" hidden="0" customHeight="1">
      <x:c r="A16" s="58" t="str">
        <x:v>R000173</x:v>
      </x:c>
      <x:c r="B16" s="58" t="str">
        <x:v>Elecciones Generales Perú 2021: claves para diseccionar las elecciones del Bicentenario</x:v>
      </x:c>
      <x:c r="C16" s="58" t="str">
        <x:v>Henry Ayala Abril</x:v>
      </x:c>
      <x:c r="D16" s="58" t="n">
        <x:v>2021</x:v>
      </x:c>
      <x:c r="E16" s="58" t="str">
        <x:v>10.53557/elecciones.2021.v20n21.14</x:v>
      </x:c>
      <x:c r="F16" s="58" t="str">
        <x:v>Resultados y discusión</x:v>
      </x:c>
      <x:c r="G16" s="58" t="str">
        <x:v>contexto electoral subnacional</x:v>
      </x:c>
      <x:c r="H16" s="58" t="str">
        <x:v>proceso_electoral</x:v>
      </x:c>
      <x:c r="I16" s="58" t="str">
        <x:v>continuidad</x:v>
      </x:c>
      <x:c r="J16" s="58" t="str">
        <x:v>Las elecciones regionales y municipales aportan contexto a la trayectoria institucional reciente.</x:v>
      </x:c>
      <x:c r="K16" s="58" t="str">
        <x:v>MMAT_2018</x:v>
      </x:c>
      <x:c r="L16" s="58" t="str">
        <x:v>alta</x:v>
      </x:c>
      <x:c r="M16" s="58" t="str">
        <x:v>none; bibliographic evidence does not modify model parameters automatically</x:v>
      </x:c>
    </x:row>
    <x:row r="17" ht="15" hidden="0" customHeight="1">
      <x:c r="A17" s="57" t="str">
        <x:v>R000174</x:v>
      </x:c>
      <x:c r="B17" s="57" t="str">
        <x:v>Elecciones Internas Perú 2022: abriendo la “caja negra” de los datos electorales</x:v>
      </x:c>
      <x:c r="C17" s="57" t="str">
        <x:v>Narda Carranza Pinedo</x:v>
      </x:c>
      <x:c r="D17" s="57" t="n">
        <x:v>2022</x:v>
      </x:c>
      <x:c r="E17" s="57" t="str">
        <x:v>10.53557/elecciones.2022.v21n23.11</x:v>
      </x:c>
      <x:c r="F17" s="57" t="str">
        <x:v>Resultados y discusión</x:v>
      </x:c>
      <x:c r="G17" s="57" t="str">
        <x:v>contexto electoral nacional</x:v>
      </x:c>
      <x:c r="H17" s="57" t="str">
        <x:v>proceso_electoral</x:v>
      </x:c>
      <x:c r="I17" s="57" t="str">
        <x:v>continuidad</x:v>
      </x:c>
      <x:c r="J17" s="57" t="str">
        <x:v>El proceso electoral de 2021 permite contextualizar la competencia política peruana.</x:v>
      </x:c>
      <x:c r="K17" s="57" t="str">
        <x:v>MMAT_2018</x:v>
      </x:c>
      <x:c r="L17" s="57" t="str">
        <x:v>alta</x:v>
      </x:c>
      <x:c r="M17" s="57" t="str">
        <x:v>none; bibliographic evidence does not modify model parameters automatically</x:v>
      </x:c>
    </x:row>
    <x:row r="18" ht="15" hidden="0" customHeight="1">
      <x:c r="A18" s="58" t="str">
        <x:v>R000205</x:v>
      </x:c>
      <x:c r="B18" s="58" t="str">
        <x:v>Reelección presidencial y retroceso democrático en América Latina</x:v>
      </x:c>
      <x:c r="C18" s="58" t="str">
        <x:v>Torrico Terán, Mario Alejandro</x:v>
      </x:c>
      <x:c r="D18" s="58" t="n">
        <x:v>2024</x:v>
      </x:c>
      <x:c r="E18" s="58"/>
      <x:c r="F18" s="58" t="str">
        <x:v>Discusión</x:v>
      </x:c>
      <x:c r="G18" s="58" t="str">
        <x:v>reelección y retroceso comparado</x:v>
      </x:c>
      <x:c r="H18" s="58" t="str">
        <x:v>funcionamiento_gobierno</x:v>
      </x:c>
      <x:c r="I18" s="58" t="str">
        <x:v>restrictivo</x:v>
      </x:c>
      <x:c r="J18" s="58" t="str">
        <x:v>La concentración ejecutiva y la reelección pueden asociarse con retroceso democrático.</x:v>
      </x:c>
      <x:c r="K18" s="58" t="str">
        <x:v>MMAT_2018</x:v>
      </x:c>
      <x:c r="L18" s="58" t="str">
        <x:v>alta</x:v>
      </x:c>
      <x:c r="M18" s="58" t="str">
        <x:v>none; bibliographic evidence does not modify model parameters automatically</x:v>
      </x:c>
    </x:row>
    <x:row r="19" ht="15" hidden="0" customHeight="1">
      <x:c r="A19" s="57" t="str">
        <x:v>R000248</x:v>
      </x:c>
      <x:c r="B19" s="57" t="str">
        <x:v>Creating Composite Indicators with DEA and Robustness Analysis: the case of the Technology Achievement Index</x:v>
      </x:c>
      <x:c r="C19" s="57" t="str">
        <x:v>A. Saltelli; Wim Moesen; R. Liska; Tom Van Puyenbroeck; Michaela Saisana; Laurens Cherchye; Nicky Rogge; S. Tarantola</x:v>
      </x:c>
      <x:c r="D19" s="57" t="n">
        <x:v>2006</x:v>
      </x:c>
      <x:c r="E19" s="57" t="str">
        <x:v>10.1057/palgrave.jors.2602445</x:v>
      </x:c>
      <x:c r="F19" s="57" t="str">
        <x:v>Métodos y limitaciones</x:v>
      </x:c>
      <x:c r="G19" s="57" t="str">
        <x:v>robustez de indicadores compuestos</x:v>
      </x:c>
      <x:c r="H19" s="57" t="str">
        <x:v>sensibilidad</x:v>
      </x:c>
      <x:c r="I19" s="57" t="str">
        <x:v>transversal</x:v>
      </x:c>
      <x:c r="J19" s="57" t="str">
        <x:v>Los indicadores compuestos requieren análisis de sensibilidad a reglas de agregación.</x:v>
      </x:c>
      <x:c r="K19" s="57" t="str">
        <x:v>METHOD_RELEVANCE</x:v>
      </x:c>
      <x:c r="L19" s="57" t="str">
        <x:v>alta</x:v>
      </x:c>
      <x:c r="M19" s="57" t="str">
        <x:v>none; bibliographic evidence does not modify model parameters automatically</x:v>
      </x:c>
    </x:row>
    <x:row r="20" ht="15" hidden="0" customHeight="1">
      <x:c r="A20" s="58" t="str">
        <x:v>R000271</x:v>
      </x:c>
      <x:c r="B20" s="58" t="str">
        <x:v>Métodos de prospectiva estratégica y participación local en el análisis de estudios de futuro en áreas naturales protegidas</x:v>
      </x:c>
      <x:c r="C20" s="58" t="str">
        <x:v>de los Ángeles La Torre-Cuadros, M.; Fernando Díaz del Olmo; Alexis Nicolás Ibáñez Blancas; Ibáñez Blancas, Alexis Nicolás; Blancas, A.N.I.; María de los Ángeles La Torre-Cuadros; La Torre-Cuadros, María de los Ángeles; Díaz del Olmo, Fernando; del Olmo, F.D.</x:v>
      </x:c>
      <x:c r="D20" s="58" t="n">
        <x:v>2023</x:v>
      </x:c>
      <x:c r="E20" s="58" t="str">
        <x:v>10.3989/estgeogr.2023131.131</x:v>
      </x:c>
      <x:c r="F20" s="58" t="str">
        <x:v>Métodos</x:v>
      </x:c>
      <x:c r="G20" s="58" t="str">
        <x:v>diseño de escenarios</x:v>
      </x:c>
      <x:c r="H20" s="58" t="str">
        <x:v>prospectiva</x:v>
      </x:c>
      <x:c r="I20" s="58" t="str">
        <x:v>transversal</x:v>
      </x:c>
      <x:c r="J20" s="58" t="str">
        <x:v>La prospectiva estratégica permite organizar escenarios exploratorios sin atribuirles probabilidad.</x:v>
      </x:c>
      <x:c r="K20" s="58" t="str">
        <x:v>MMAT_2018</x:v>
      </x:c>
      <x:c r="L20" s="58" t="str">
        <x:v>alta</x:v>
      </x:c>
      <x:c r="M20" s="58" t="str">
        <x:v>none; bibliographic evidence does not modify model parameters automatically</x:v>
      </x:c>
    </x:row>
    <x:row r="21" ht="15" hidden="0" customHeight="1">
      <x:c r="A21" s="57" t="str">
        <x:v>R000361</x:v>
      </x:c>
      <x:c r="B21" s="57" t="str">
        <x:v>Supermajority rules in constitutional courts and democratic backsliding: a comparative analysis</x:v>
      </x:c>
      <x:c r="C21" s="57" t="str">
        <x:v>Rivera León M.A.</x:v>
      </x:c>
      <x:c r="D21" s="57" t="n">
        <x:v>2026</x:v>
      </x:c>
      <x:c r="E21" s="57" t="str">
        <x:v>10.1080/13642987.2026.2711681</x:v>
      </x:c>
      <x:c r="F21" s="57" t="str">
        <x:v>Discusión</x:v>
      </x:c>
      <x:c r="G21" s="57" t="str">
        <x:v>tribunales y retroceso</x:v>
      </x:c>
      <x:c r="H21" s="57" t="str">
        <x:v>funcionamiento_gobierno</x:v>
      </x:c>
      <x:c r="I21" s="57" t="str">
        <x:v>restrictivo</x:v>
      </x:c>
      <x:c r="J21" s="57" t="str">
        <x:v>Los cambios en supermayorías y controles judiciales pueden facilitar retrocesos institucionales.</x:v>
      </x:c>
      <x:c r="K21" s="57" t="str">
        <x:v>MMAT_2018</x:v>
      </x:c>
      <x:c r="L21" s="57" t="str">
        <x:v>alta</x:v>
      </x:c>
      <x:c r="M21" s="57" t="str">
        <x:v>none; bibliographic evidence does not modify model parameters automatically</x:v>
      </x:c>
    </x:row>
    <x:row r="22" ht="15" hidden="0" customHeight="1">
      <x:c r="A22" s="58" t="str">
        <x:v>R000543</x:v>
      </x:c>
      <x:c r="B22" s="58" t="str">
        <x:v>Mi comprensión de la democracia: un resumen</x:v>
      </x:c>
      <x:c r="C22" s="58" t="str">
        <x:v>Przeworski A.</x:v>
      </x:c>
      <x:c r="D22" s="58" t="n">
        <x:v>2026</x:v>
      </x:c>
      <x:c r="E22" s="58" t="str">
        <x:v>10.24201/es.2026v44.e3079</x:v>
      </x:c>
      <x:c r="F22" s="58" t="str">
        <x:v>Introducción</x:v>
      </x:c>
      <x:c r="G22" s="58" t="str">
        <x:v>definición de democracia</x:v>
      </x:c>
      <x:c r="H22" s="58" t="str">
        <x:v>conceptual</x:v>
      </x:c>
      <x:c r="I22" s="58" t="str">
        <x:v>transversal</x:v>
      </x:c>
      <x:c r="J22" s="58" t="str">
        <x:v>La democracia se delimita como competencia, participación y restricciones al poder.</x:v>
      </x:c>
      <x:c r="K22" s="58" t="str">
        <x:v>AACODS</x:v>
      </x:c>
      <x:c r="L22" s="58" t="str">
        <x:v>alta</x:v>
      </x:c>
      <x:c r="M22" s="58" t="str">
        <x:v>none; bibliographic evidence does not modify model parameters automatically</x:v>
      </x:c>
    </x:row>
    <x:row r="23" ht="15" hidden="0" customHeight="1">
      <x:c r="A23" s="57" t="str">
        <x:v>R000645</x:v>
      </x:c>
      <x:c r="B23" s="57" t="str">
        <x:v>Profissionais da justiça e da segurança pública, conservadorismo e erosão democrática</x:v>
      </x:c>
      <x:c r="C23" s="57" t="str">
        <x:v>Maria da Gloria Bonelli</x:v>
      </x:c>
      <x:c r="D23" s="57" t="n">
        <x:v>2026</x:v>
      </x:c>
      <x:c r="E23" s="57" t="str">
        <x:v>10.1590/scielopreprints.17594</x:v>
      </x:c>
      <x:c r="F23" s="57" t="str">
        <x:v>Discusión</x:v>
      </x:c>
      <x:c r="G23" s="57" t="str">
        <x:v>justicia, seguridad y erosión</x:v>
      </x:c>
      <x:c r="H23" s="57" t="str">
        <x:v>funcionamiento_gobierno</x:v>
      </x:c>
      <x:c r="I23" s="57" t="str">
        <x:v>restrictivo</x:v>
      </x:c>
      <x:c r="J23" s="57" t="str">
        <x:v>La actuación de élites jurídicas y de seguridad es relevante para los contrapesos democráticos.</x:v>
      </x:c>
      <x:c r="K23" s="57" t="str">
        <x:v>MMAT_2018</x:v>
      </x:c>
      <x:c r="L23" s="57" t="str">
        <x:v>alta</x:v>
      </x:c>
      <x:c r="M23" s="57" t="str">
        <x:v>none; bibliographic evidence does not modify model parameters automatically</x:v>
      </x:c>
    </x:row>
    <x:row r="24" ht="15" hidden="0" customHeight="1">
      <x:c r="A24" s="58" t="str">
        <x:v>R000059</x:v>
      </x:c>
      <x:c r="B24" s="58" t="str">
        <x:v>La calidad de la democracia en el Perú y en América Latina</x:v>
      </x:c>
      <x:c r="C24" s="58" t="str">
        <x:v>Martín Tanaka; Catalina Romero; Alberto Adrianzén; Steven Levitsky</x:v>
      </x:c>
      <x:c r="D24" s="58" t="n">
        <x:v>2011</x:v>
      </x:c>
      <x:c r="E24" s="58" t="str">
        <x:v>10.18800/9789972429774.009</x:v>
      </x:c>
      <x:c r="F24" s="58" t="str">
        <x:v>Introducción y discusión</x:v>
      </x:c>
      <x:c r="G24" s="58" t="str">
        <x:v>trayectoria peruana de calidad democrática</x:v>
      </x:c>
      <x:c r="H24" s="58" t="str">
        <x:v>medición_multidimensional</x:v>
      </x:c>
      <x:c r="I24" s="58" t="str">
        <x:v>transversal</x:v>
      </x:c>
      <x:c r="J24" s="58" t="str">
        <x:v>La calidad democrática peruana debe leerse dentro de su trayectoria institucional y regional.</x:v>
      </x:c>
      <x:c r="K24" s="58" t="str">
        <x:v>AACODS</x:v>
      </x:c>
      <x:c r="L24" s="58" t="str">
        <x:v>alta</x:v>
      </x:c>
      <x:c r="M24" s="58" t="str">
        <x:v>none; bibliographic evidence does not modify model parameters automatically</x:v>
      </x:c>
    </x:row>
    <x:row r="25" ht="15" hidden="0" customHeight="1">
      <x:c r="A25" s="57" t="str">
        <x:v>R000065</x:v>
      </x:c>
      <x:c r="B25" s="57" t="str">
        <x:v>Luces y sombras de la calidad de la democracia en América Latina</x:v>
      </x:c>
      <x:c r="C25" s="57" t="str">
        <x:v>Manuel Alcántara Saéz</x:v>
      </x:c>
      <x:c r="D25" s="57" t="n">
        <x:v>2007</x:v>
      </x:c>
      <x:c r="E25" s="57" t="str">
        <x:v>10.35292/ropj.v2i2.154</x:v>
      </x:c>
      <x:c r="F25" s="57" t="str">
        <x:v>Métodos y limitaciones</x:v>
      </x:c>
      <x:c r="G25" s="57" t="str">
        <x:v>comparación de índices</x:v>
      </x:c>
      <x:c r="H25" s="57" t="str">
        <x:v>medición_multidimensional</x:v>
      </x:c>
      <x:c r="I25" s="57" t="str">
        <x:v>transversal</x:v>
      </x:c>
      <x:c r="J25" s="57" t="str">
        <x:v>Los índices de democracia difieren en concepto, fuentes y agregación.</x:v>
      </x:c>
      <x:c r="K25" s="57" t="str">
        <x:v>METHOD_RELEVANCE</x:v>
      </x:c>
      <x:c r="L25" s="57" t="str">
        <x:v>alta</x:v>
      </x:c>
      <x:c r="M25" s="57" t="str">
        <x:v>none; bibliographic evidence does not modify model parameters automatically</x:v>
      </x:c>
    </x:row>
    <x:row r="26" ht="15" hidden="0" customHeight="1">
      <x:c r="A26" s="58" t="str">
        <x:v>R000071</x:v>
      </x:c>
      <x:c r="B26" s="58" t="str">
        <x:v>DESCONSOLIDAÇÃO DEMOCRÁTICA NA AMÉRICA LATINA</x:v>
      </x:c>
      <x:c r="C26" s="58" t="str">
        <x:v>Fidel Terenciano</x:v>
      </x:c>
      <x:c r="D26" s="58" t="n">
        <x:v>2018</x:v>
      </x:c>
      <x:c r="E26" s="58" t="str">
        <x:v>10.2307/j.ctvn96fr4.11</x:v>
      </x:c>
      <x:c r="F26" s="58" t="str">
        <x:v>Introducción y discusión</x:v>
      </x:c>
      <x:c r="G26" s="58" t="str">
        <x:v>desconsolidación latinoamericana</x:v>
      </x:c>
      <x:c r="H26" s="58" t="str">
        <x:v>contexto_regional</x:v>
      </x:c>
      <x:c r="I26" s="58" t="str">
        <x:v>restrictivo</x:v>
      </x:c>
      <x:c r="J26" s="58" t="str">
        <x:v>La desconsolidación democrática latinoamericana ofrece el marco regional del caso peruano.</x:v>
      </x:c>
      <x:c r="K26" s="58" t="str">
        <x:v>AACODS</x:v>
      </x:c>
      <x:c r="L26" s="58" t="str">
        <x:v>alta</x:v>
      </x:c>
      <x:c r="M26" s="58" t="str">
        <x:v>none; bibliographic evidence does not modify model parameters automatically</x:v>
      </x:c>
    </x:row>
    <x:row r="27" ht="15" hidden="0" customHeight="1">
      <x:c r="A27" s="57" t="str">
        <x:v>R000072</x:v>
      </x:c>
      <x:c r="B27" s="57" t="str">
        <x:v>Democracia, desigualdades e corrupção: uma análise da qualidade democrática na América latina.</x:v>
      </x:c>
      <x:c r="C27" s="57" t="str">
        <x:v>Maria Salete Souza de Amorim</x:v>
      </x:c>
      <x:c r="D27" s="57" t="n">
        <x:v>2015</x:v>
      </x:c>
      <x:c r="E27" s="57" t="str">
        <x:v>10.5902/2236672521590</x:v>
      </x:c>
      <x:c r="F27" s="57" t="str">
        <x:v>Discusión</x:v>
      </x:c>
      <x:c r="G27" s="57" t="str">
        <x:v>desigualdad y corrupción</x:v>
      </x:c>
      <x:c r="H27" s="57" t="str">
        <x:v>funcionamiento_gobierno</x:v>
      </x:c>
      <x:c r="I27" s="57" t="str">
        <x:v>continuidad</x:v>
      </x:c>
      <x:c r="J27" s="57" t="str">
        <x:v>Desigualdad y corrupción condicionan desempeño institucional y apoyo democrático.</x:v>
      </x:c>
      <x:c r="K27" s="57" t="str">
        <x:v>MMAT_2018</x:v>
      </x:c>
      <x:c r="L27" s="57" t="str">
        <x:v>moderada</x:v>
      </x:c>
      <x:c r="M27" s="57" t="str">
        <x:v>none; bibliographic evidence does not modify model parameters automatically</x:v>
      </x:c>
    </x:row>
    <x:row r="28" ht="15" hidden="0" customHeight="1">
      <x:c r="A28" s="58" t="str">
        <x:v>R000074</x:v>
      </x:c>
      <x:c r="B28" s="58" t="str">
        <x:v>La controvertida democracia representativa</x:v>
      </x:c>
      <x:c r="C28" s="58" t="str">
        <x:v>Hugo Quiroga</x:v>
      </x:c>
      <x:c r="D28" s="58" t="n">
        <x:v>2019</x:v>
      </x:c>
      <x:c r="E28" s="58" t="str">
        <x:v>10.2307/j.ctvt6rkct.17</x:v>
      </x:c>
      <x:c r="F28" s="58" t="str">
        <x:v>Introducción</x:v>
      </x:c>
      <x:c r="G28" s="58" t="str">
        <x:v>democracia representativa</x:v>
      </x:c>
      <x:c r="H28" s="58" t="str">
        <x:v>conceptual</x:v>
      </x:c>
      <x:c r="I28" s="58" t="str">
        <x:v>transversal</x:v>
      </x:c>
      <x:c r="J28" s="58" t="str">
        <x:v>La democracia representativa combina autorización electoral, control y rendición de cuentas.</x:v>
      </x:c>
      <x:c r="K28" s="58" t="str">
        <x:v>AACODS</x:v>
      </x:c>
      <x:c r="L28" s="58" t="str">
        <x:v>alta</x:v>
      </x:c>
      <x:c r="M28" s="58" t="str">
        <x:v>none; bibliographic evidence does not modify model parameters automatically</x:v>
      </x:c>
    </x:row>
    <x:row r="29" ht="15" hidden="0" customHeight="1">
      <x:c r="A29" s="57" t="str">
        <x:v>R000097</x:v>
      </x:c>
      <x:c r="B29" s="57" t="str">
        <x:v>Representatividad, participación y política: nuevo foco para el viejo debate sobre la función pública en América Latina</x:v>
      </x:c>
      <x:c r="C29" s="57" t="str">
        <x:v>Mercedes Iacovello</x:v>
      </x:c>
      <x:c r="D29" s="57" t="n">
        <x:v>2012</x:v>
      </x:c>
      <x:c r="E29" s="57" t="str">
        <x:v>10.35247/buengob_12_05</x:v>
      </x:c>
      <x:c r="F29" s="57" t="str">
        <x:v>Discusión</x:v>
      </x:c>
      <x:c r="G29" s="57" t="str">
        <x:v>función pública y representación</x:v>
      </x:c>
      <x:c r="H29" s="57" t="str">
        <x:v>funcionamiento_gobierno</x:v>
      </x:c>
      <x:c r="I29" s="57" t="str">
        <x:v>recuperacion</x:v>
      </x:c>
      <x:c r="J29" s="57" t="str">
        <x:v>La capacidad administrativa y la representación deben diferenciarse analíticamente.</x:v>
      </x:c>
      <x:c r="K29" s="57" t="str">
        <x:v>MMAT_2018</x:v>
      </x:c>
      <x:c r="L29" s="57" t="str">
        <x:v>moderada</x:v>
      </x:c>
      <x:c r="M29" s="57" t="str">
        <x:v>none; bibliographic evidence does not modify model parameters automatically</x:v>
      </x:c>
    </x:row>
    <x:row r="30" ht="15" hidden="0" customHeight="1">
      <x:c r="A30" s="58" t="str">
        <x:v>R000103</x:v>
      </x:c>
      <x:c r="B30" s="58" t="str">
        <x:v>Notas introductorias sobre el populismo y la cultura política en el área andina de América Latina</x:v>
      </x:c>
      <x:c r="C30" s="58" t="str">
        <x:v>H.C.F. Mansilla</x:v>
      </x:c>
      <x:c r="D30" s="58" t="n">
        <x:v>2009</x:v>
      </x:c>
      <x:c r="E30" s="58" t="str">
        <x:v>10.4013/csu.2009.45.2.02</x:v>
      </x:c>
      <x:c r="F30" s="58" t="str">
        <x:v>Introducción y discusión</x:v>
      </x:c>
      <x:c r="G30" s="58" t="str">
        <x:v>populismo y cultura política andina</x:v>
      </x:c>
      <x:c r="H30" s="58" t="str">
        <x:v>cultura_politica</x:v>
      </x:c>
      <x:c r="I30" s="58" t="str">
        <x:v>restrictivo</x:v>
      </x:c>
      <x:c r="J30" s="58" t="str">
        <x:v>La cultura política andina aporta contexto a la relación entre populismo y democracia.</x:v>
      </x:c>
      <x:c r="K30" s="58" t="str">
        <x:v>MMAT_2018</x:v>
      </x:c>
      <x:c r="L30" s="58" t="str">
        <x:v>moderada</x:v>
      </x:c>
      <x:c r="M30" s="58" t="str">
        <x:v>none; bibliographic evidence does not modify model parameters automatically</x:v>
      </x:c>
    </x:row>
    <x:row r="31" ht="15" hidden="0" customHeight="1">
      <x:c r="A31" s="57" t="str">
        <x:v>R000108</x:v>
      </x:c>
      <x:c r="B31" s="57" t="str">
        <x:v>An Internal Validation Assessment of Scale Across Social Vulnerability Index Model Structures (Uncertainty and Global Sensitivity Analysis)</x:v>
      </x:c>
      <x:c r="C31" s="57" t="str">
        <x:v>Selena Hinojos; Caitlin Grady</x:v>
      </x:c>
      <x:c r="D31" s="57" t="n">
        <x:v>2025</x:v>
      </x:c>
      <x:c r="E31" s="57" t="str">
        <x:v>10.4211/hs.719a8d719907435dade9102aa9a0fa8d</x:v>
      </x:c>
      <x:c r="F31" s="57" t="str">
        <x:v>Métodos y limitaciones</x:v>
      </x:c>
      <x:c r="G31" s="57" t="str">
        <x:v>sensibilidad de índice compuesto</x:v>
      </x:c>
      <x:c r="H31" s="57" t="str">
        <x:v>sensibilidad</x:v>
      </x:c>
      <x:c r="I31" s="57" t="str">
        <x:v>transversal</x:v>
      </x:c>
      <x:c r="J31" s="57" t="str">
        <x:v>La incertidumbre de índices compuestos debe propagarse y comunicarse mediante bandas.</x:v>
      </x:c>
      <x:c r="K31" s="57" t="str">
        <x:v>METHOD_RELEVANCE</x:v>
      </x:c>
      <x:c r="L31" s="57" t="str">
        <x:v>alta</x:v>
      </x:c>
      <x:c r="M31" s="57" t="str">
        <x:v>none; bibliographic evidence does not modify model parameters automatically</x:v>
      </x:c>
    </x:row>
    <x:row r="32" ht="15" hidden="0" customHeight="1">
      <x:c r="A32" s="58" t="str">
        <x:v>R000175</x:v>
      </x:c>
      <x:c r="B32" s="58" t="str">
        <x:v>El control constitucional de las resoluciones electorales en el Perú</x:v>
      </x:c>
      <x:c r="C32" s="58" t="str">
        <x:v>César Landa</x:v>
      </x:c>
      <x:c r="D32" s="58" t="n">
        <x:v>2011</x:v>
      </x:c>
      <x:c r="E32" s="58" t="str">
        <x:v>10.53557/elecciones.2011.v10n11.02</x:v>
      </x:c>
      <x:c r="F32" s="58" t="str">
        <x:v>Discusión</x:v>
      </x:c>
      <x:c r="G32" s="58" t="str">
        <x:v>control constitucional electoral</x:v>
      </x:c>
      <x:c r="H32" s="58" t="str">
        <x:v>proceso_electoral</x:v>
      </x:c>
      <x:c r="I32" s="58" t="str">
        <x:v>recuperacion</x:v>
      </x:c>
      <x:c r="J32" s="58" t="str">
        <x:v>El control constitucional en materia electoral integra la arquitectura de contrapesos.</x:v>
      </x:c>
      <x:c r="K32" s="58" t="str">
        <x:v>MMAT_2018</x:v>
      </x:c>
      <x:c r="L32" s="58" t="str">
        <x:v>alta</x:v>
      </x:c>
      <x:c r="M32" s="58" t="str">
        <x:v>none; bibliographic evidence does not modify model parameters automatically</x:v>
      </x:c>
    </x:row>
    <x:row r="33" ht="15" hidden="0" customHeight="1">
      <x:c r="A33" s="57" t="str">
        <x:v>R000201</x:v>
      </x:c>
      <x:c r="B33" s="57" t="str">
        <x:v>Reforma política : para consolidar el régimen democrático</x:v>
      </x:c>
      <x:c r="C33" s="57" t="str">
        <x:v>Pease García, Henry</x:v>
      </x:c>
      <x:c r="D33" s="57" t="n">
        <x:v>2008</x:v>
      </x:c>
      <x:c r="E33" s="57" t="str">
        <x:v>10.18800/9789972428531</x:v>
      </x:c>
      <x:c r="F33" s="57" t="str">
        <x:v>Discusión</x:v>
      </x:c>
      <x:c r="G33" s="57" t="str">
        <x:v>reforma política peruana</x:v>
      </x:c>
      <x:c r="H33" s="57" t="str">
        <x:v>funcionamiento_gobierno</x:v>
      </x:c>
      <x:c r="I33" s="57" t="str">
        <x:v>recuperacion</x:v>
      </x:c>
      <x:c r="J33" s="57" t="str">
        <x:v>La reforma política delimita opciones institucionales plausibles de recuperación.</x:v>
      </x:c>
      <x:c r="K33" s="57" t="str">
        <x:v>AACODS</x:v>
      </x:c>
      <x:c r="L33" s="57" t="str">
        <x:v>alta</x:v>
      </x:c>
      <x:c r="M33" s="57" t="str">
        <x:v>none; bibliographic evidence does not modify model parameters automatically</x:v>
      </x:c>
    </x:row>
    <x:row r="34" ht="15" hidden="0" customHeight="1">
      <x:c r="A34" s="58" t="str">
        <x:v>R000643</x:v>
      </x:c>
      <x:c r="B34" s="58" t="str">
        <x:v>Neoconservadorismo na América Latina: o ataque aos direitos sexuais e reprodutivos como elemento da erosão democrática</x:v>
      </x:c>
      <x:c r="C34" s="58" t="str">
        <x:v>Joyce Miranda Leão Martins</x:v>
      </x:c>
      <x:c r="D34" s="58" t="n">
        <x:v>2022</x:v>
      </x:c>
      <x:c r="E34" s="58" t="str">
        <x:v>10.1590/0103-3352.2022.37.254322</x:v>
      </x:c>
      <x:c r="F34" s="58" t="str">
        <x:v>Discusión</x:v>
      </x:c>
      <x:c r="G34" s="58" t="str">
        <x:v>derechos y erosión regional</x:v>
      </x:c>
      <x:c r="H34" s="58" t="str">
        <x:v>libertades_civiles</x:v>
      </x:c>
      <x:c r="I34" s="58" t="str">
        <x:v>restrictivo</x:v>
      </x:c>
      <x:c r="J34" s="58" t="str">
        <x:v>Las agendas neoconservadoras pueden afectar derechos y libertades en contextos de erosión.</x:v>
      </x:c>
      <x:c r="K34" s="58" t="str">
        <x:v>MMAT_2018</x:v>
      </x:c>
      <x:c r="L34" s="58" t="str">
        <x:v>alta</x:v>
      </x:c>
      <x:c r="M34" s="58" t="str">
        <x:v>none; bibliographic evidence does not modify model parameters automatically</x:v>
      </x:c>
    </x:row>
  </x:sheetData>
  <x:mergeCells>
    <x:mergeCell ref="A1:M1"/>
    <x:mergeCell ref="A2:M2"/>
  </x:mergeCells>
  <x:pageMargins left="0.7" right="0.7" top="0.75" bottom="0.75" header="0.3" footer="0.3"/>
  <x:tableParts count="1">
    <x:tablePart xmlns:r="http://schemas.openxmlformats.org/officeDocument/2006/relationships" r:id="R431f00a19b9a4933"/>
  </x:tableParts>
</x:worksheet>
</file>